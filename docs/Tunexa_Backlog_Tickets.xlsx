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ynthèse" sheetId="2" state="visible" r:id="rId4"/>
    <sheet name="Tickets" sheetId="3" state="visible" r:id="rId5"/>
  </sheets>
  <definedNames>
    <definedName function="false" hidden="false" localSheetId="2" name="_xlnm.Print_Titles" vbProcedure="false">Tickets!$1:$1</definedName>
    <definedName function="false" hidden="true" localSheetId="2" name="_xlnm._FilterDatabase" vbProcedure="false">Tickets!$A$1:$L$159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<sst xmlns="http://schemas.openxmlformats.org/spreadsheetml/2006/main" count="1680" uniqueCount="727">
  <si>
    <t xml:space="preserve">Tunexa - Backlog des tickets pour validation client</t>
  </si>
  <si>
    <t xml:space="preserve">Objet</t>
  </si>
  <si>
    <t xml:space="preserve">Liste exhaustive des tâches (tickets) nécessaires pour construire la marketplace Tunexa, à valider par le client avant import dans l'outil de gestion (Jira, Trello, Linear...).</t>
  </si>
  <si>
    <t xml:space="preserve">Document de référence</t>
  </si>
  <si>
    <t xml:space="preserve">docs/FONCTIONNALITES.md (cahier des fonctionnalités)</t>
  </si>
  <si>
    <t xml:space="preserve">Onglets</t>
  </si>
  <si>
    <t xml:space="preserve">Tickets</t>
  </si>
  <si>
    <t xml:space="preserve">Un ticket par ligne : identifiant, épique, titre, description, critères d'acceptation, type, priorité, phase, estimation, dépendances.</t>
  </si>
  <si>
    <t xml:space="preserve">Synthèse</t>
  </si>
  <si>
    <t xml:space="preserve">Totaux calculés automatiquement par épique, priorité, phase et décision client (formules, se mettent à jour seules).</t>
  </si>
  <si>
    <t xml:space="preserve">À remplir par le client</t>
  </si>
  <si>
    <t xml:space="preserve">Colonnes jaunes</t>
  </si>
  <si>
    <t xml:space="preserve">« Décision client » (liste déroulante) et « Commentaire client » dans l'onglet Tickets. Ne pas modifier les autres colonnes.</t>
  </si>
  <si>
    <t xml:space="preserve">Exemple</t>
  </si>
  <si>
    <t xml:space="preserve">AUTH-01 → Décision : « À modifier » ; Commentaire : « Ajouter aussi la vérification par WhatsApp ».</t>
  </si>
  <si>
    <t xml:space="preserve">Valeurs de « Décision client »</t>
  </si>
  <si>
    <t xml:space="preserve">À valider</t>
  </si>
  <si>
    <t xml:space="preserve">Pas encore revu (valeur par défaut).</t>
  </si>
  <si>
    <t xml:space="preserve">Validé</t>
  </si>
  <si>
    <t xml:space="preserve">Le ticket est accepté tel quel.</t>
  </si>
  <si>
    <t xml:space="preserve">À modifier</t>
  </si>
  <si>
    <t xml:space="preserve">Accepté sous réserve des changements indiqués en commentaire.</t>
  </si>
  <si>
    <t xml:space="preserve">Refusé</t>
  </si>
  <si>
    <t xml:space="preserve">Le ticket est retiré du projet.</t>
  </si>
  <si>
    <t xml:space="preserve">Reporté</t>
  </si>
  <si>
    <t xml:space="preserve">Accepté mais déplacé à une phase ultérieure.</t>
  </si>
  <si>
    <t xml:space="preserve">Priorités</t>
  </si>
  <si>
    <t xml:space="preserve">P0 - Phase 1 - MVP</t>
  </si>
  <si>
    <t xml:space="preserve">Indispensable au lancement.</t>
  </si>
  <si>
    <t xml:space="preserve">P1 - Phase 2 - Croissance</t>
  </si>
  <si>
    <t xml:space="preserve">Peu après le lancement.</t>
  </si>
  <si>
    <t xml:space="preserve">P2 - Phase 3 - Expansion</t>
  </si>
  <si>
    <t xml:space="preserve">Évolutions futures.</t>
  </si>
  <si>
    <t xml:space="preserve">Estimation</t>
  </si>
  <si>
    <t xml:space="preserve">En jours-homme (j/h), effort de développement indicatif hors gestion de projet. Hypothèse de l'équipe technique, à affiner lors du découpage en sprints.</t>
  </si>
  <si>
    <t xml:space="preserve">Hypothèses</t>
  </si>
  <si>
    <t xml:space="preserve">Les prestataires (passerelle de paiement, transporteurs, fournisseur SMS) restent à choisir par le client. Les documents légaux, la déclaration INPDP et la validation fiscale des factures relèvent du client et de ses conseils (juriste, expert-comptable).</t>
  </si>
  <si>
    <t xml:space="preserve">Synthèse du backlog Tunexa</t>
  </si>
  <si>
    <t xml:space="preserve">Tous les chiffres sont des formules liées à l'onglet Tickets.</t>
  </si>
  <si>
    <t xml:space="preserve">Épique</t>
  </si>
  <si>
    <t xml:space="preserve">Nb tickets</t>
  </si>
  <si>
    <t xml:space="preserve">Total (j/h)</t>
  </si>
  <si>
    <t xml:space="preserve">P0 (j/h)</t>
  </si>
  <si>
    <t xml:space="preserve">P1 (j/h)</t>
  </si>
  <si>
    <t xml:space="preserve">P2 (j/h)</t>
  </si>
  <si>
    <t xml:space="preserve">Validés</t>
  </si>
  <si>
    <t xml:space="preserve">Refusés</t>
  </si>
  <si>
    <t xml:space="preserve">% validés</t>
  </si>
  <si>
    <t xml:space="preserve">SETUP - Socle technique &amp; infrastructure</t>
  </si>
  <si>
    <t xml:space="preserve">AUTH - Comptes &amp; authentification</t>
  </si>
  <si>
    <t xml:space="preserve">CAT - Catalogue &amp; recherche</t>
  </si>
  <si>
    <t xml:space="preserve">PDP - Fiche produit</t>
  </si>
  <si>
    <t xml:space="preserve">CART - Panier &amp; checkout</t>
  </si>
  <si>
    <t xml:space="preserve">PAY - Paiement</t>
  </si>
  <si>
    <t xml:space="preserve">SHIP - Livraison &amp; logistique</t>
  </si>
  <si>
    <t xml:space="preserve">ORD - Commandes &amp; retours</t>
  </si>
  <si>
    <t xml:space="preserve">SELL - Espace vendeur (Seller Center)</t>
  </si>
  <si>
    <t xml:space="preserve">REV - Avis &amp; questions / réponses</t>
  </si>
  <si>
    <t xml:space="preserve">MKT - Marketing &amp; fidélisation</t>
  </si>
  <si>
    <t xml:space="preserve">NOTIF - Notifications</t>
  </si>
  <si>
    <t xml:space="preserve">SUP - Service client</t>
  </si>
  <si>
    <t xml:space="preserve">ADM - Back-office administrateur</t>
  </si>
  <si>
    <t xml:space="preserve">FIN - Facturation &amp; fiscalité</t>
  </si>
  <si>
    <t xml:space="preserve">SEC - Sécurité &amp; conformité</t>
  </si>
  <si>
    <t xml:space="preserve">MOB - Mobile &amp; PWA</t>
  </si>
  <si>
    <t xml:space="preserve">FUL - Tunexa Fulfillment (entrepôt)</t>
  </si>
  <si>
    <t xml:space="preserve">PLUS - Tunexa Plus (abonnement client)</t>
  </si>
  <si>
    <t xml:space="preserve">QA - Tests, recette &amp; lancement</t>
  </si>
  <si>
    <t xml:space="preserve">TOTAL</t>
  </si>
  <si>
    <t xml:space="preserve">Phase</t>
  </si>
  <si>
    <t xml:space="preserve">Mois-homme (≈20 j/mois)</t>
  </si>
  <si>
    <t xml:space="preserve">Phase 1 - MVP</t>
  </si>
  <si>
    <t xml:space="preserve">Phase 2 - Croissance</t>
  </si>
  <si>
    <t xml:space="preserve">Phase 3 - Expansion</t>
  </si>
  <si>
    <t xml:space="preserve">Jours ouvrés par mois (hypothèse)</t>
  </si>
  <si>
    <t xml:space="preserve">Modifiable</t>
  </si>
  <si>
    <t xml:space="preserve">Décision client</t>
  </si>
  <si>
    <t xml:space="preserve">% du total</t>
  </si>
  <si>
    <t xml:space="preserve">ID</t>
  </si>
  <si>
    <t xml:space="preserve">Titre</t>
  </si>
  <si>
    <t xml:space="preserve">Description</t>
  </si>
  <si>
    <t xml:space="preserve">Critères d'acceptation</t>
  </si>
  <si>
    <t xml:space="preserve">Type</t>
  </si>
  <si>
    <t xml:space="preserve">Priorité</t>
  </si>
  <si>
    <t xml:space="preserve">Estimation (j/h)</t>
  </si>
  <si>
    <t xml:space="preserve">Dépendances</t>
  </si>
  <si>
    <t xml:space="preserve">Commentaire client</t>
  </si>
  <si>
    <t xml:space="preserve">SETUP-01</t>
  </si>
  <si>
    <t xml:space="preserve">Initialiser les dépôts et l'architecture du projet</t>
  </si>
  <si>
    <t xml:space="preserve">Créer le monorepo (web, API, back-office), conventions de code, linting, structure du monolithe modulaire.</t>
  </si>
  <si>
    <t xml:space="preserve">• Dépôt créé avec README
• Lint et format automatiques
• Structure des modules validée par le lead tech</t>
  </si>
  <si>
    <t xml:space="preserve">Tâche technique</t>
  </si>
  <si>
    <t xml:space="preserve">P0</t>
  </si>
  <si>
    <t xml:space="preserve">-</t>
  </si>
  <si>
    <t xml:space="preserve">SETUP-02</t>
  </si>
  <si>
    <t xml:space="preserve">Mettre en place la CI/CD</t>
  </si>
  <si>
    <t xml:space="preserve">Pipeline GitHub Actions : build, tests, analyse qualité, déploiement automatique sur staging et production.</t>
  </si>
  <si>
    <t xml:space="preserve">• Chaque push lance build + tests
• Déploiement staging automatique sur la branche principale
• Déploiement production sur validation manuelle</t>
  </si>
  <si>
    <t xml:space="preserve">SETUP-03</t>
  </si>
  <si>
    <t xml:space="preserve">Provisionner les environnements (dev, staging, prod)</t>
  </si>
  <si>
    <t xml:space="preserve">Hébergement, base PostgreSQL, Redis, stockage objets pour les images, CDN, nom de domaine et certificats HTTPS.</t>
  </si>
  <si>
    <t xml:space="preserve">• 3 environnements isolés et accessibles
• HTTPS actif
• Sauvegardes quotidiennes de la base configurées</t>
  </si>
  <si>
    <t xml:space="preserve">SETUP-04</t>
  </si>
  <si>
    <t xml:space="preserve">Mettre en place l'observabilité</t>
  </si>
  <si>
    <t xml:space="preserve">Logs centralisés, métriques, alertes, suivi des erreurs front et back.</t>
  </si>
  <si>
    <t xml:space="preserve">• Erreurs remontées dans un outil de suivi
• Alerte si disponibilité &lt; 99,9 %
• Tableau de bord des métriques API</t>
  </si>
  <si>
    <t xml:space="preserve">SETUP-05</t>
  </si>
  <si>
    <t xml:space="preserve">Internationalisation ar / fr / en avec RTL</t>
  </si>
  <si>
    <t xml:space="preserve">Socle i18n pour le web et le back-office : traductions, bascule de langue, mise en page de droite à gauche pour l'arabe.</t>
  </si>
  <si>
    <t xml:space="preserve">• Bascule de langue sans rechargement complet
• Mise en page RTL correcte en arabe
• Fichiers de traduction éditables</t>
  </si>
  <si>
    <t xml:space="preserve">SETUP-06</t>
  </si>
  <si>
    <t xml:space="preserve">Format monétaire TND et référentiels tunisiens</t>
  </si>
  <si>
    <t xml:space="preserve">Affichage des prix en TND avec 3 décimales (millimes) ; import du référentiel gouvernorats / délégations / localités / codes postaux.</t>
  </si>
  <si>
    <t xml:space="preserve">• Prix affichés au format 1 249,900 DT
• 24 gouvernorats et leurs délégations chargés
• Référentiel modifiable dans le back-office</t>
  </si>
  <si>
    <t xml:space="preserve">SETUP-07</t>
  </si>
  <si>
    <t xml:space="preserve">Design system et maquettes UI</t>
  </si>
  <si>
    <t xml:space="preserve">Charte graphique, composants réutilisables, maquettes des écrans clés (accueil, liste, fiche produit, panier, checkout, compte, espace vendeur).</t>
  </si>
  <si>
    <t xml:space="preserve">• Maquettes validées par le client
• Bibliothèque de composants documentée
• Version mobile et RTL incluses</t>
  </si>
  <si>
    <t xml:space="preserve">Design</t>
  </si>
  <si>
    <t xml:space="preserve">AUTH-01</t>
  </si>
  <si>
    <t xml:space="preserve">Inscription par téléphone + OTP SMS</t>
  </si>
  <si>
    <t xml:space="preserve">Le client s'inscrit avec son numéro (+216) et reçoit un code SMS de vérification.</t>
  </si>
  <si>
    <t xml:space="preserve">• Format +216 XX XXX XXX validé
• Code OTP à 6 chiffres, valable 5 minutes
• Maximum 3 renvois par heure</t>
  </si>
  <si>
    <t xml:space="preserve">Story</t>
  </si>
  <si>
    <t xml:space="preserve">AUTH-07</t>
  </si>
  <si>
    <t xml:space="preserve">AUTH-02</t>
  </si>
  <si>
    <t xml:space="preserve">Inscription et connexion par e-mail + mot de passe</t>
  </si>
  <si>
    <t xml:space="preserve">Alternative à l'inscription par téléphone, avec vérification de l'e-mail.</t>
  </si>
  <si>
    <t xml:space="preserve">• E-mail de confirmation envoyé
• Mot de passe : 8 caractères minimum
• Mot de passe stocké haché</t>
  </si>
  <si>
    <t xml:space="preserve">AUTH-03</t>
  </si>
  <si>
    <t xml:space="preserve">Mot de passe oublié</t>
  </si>
  <si>
    <t xml:space="preserve">Réinitialisation par SMS ou e-mail.</t>
  </si>
  <si>
    <t xml:space="preserve">• Lien / code valable 30 minutes
• Ancien mot de passe invalidé après changement</t>
  </si>
  <si>
    <t xml:space="preserve">AUTH-04</t>
  </si>
  <si>
    <t xml:space="preserve">Gestion du profil client</t>
  </si>
  <si>
    <t xml:space="preserve">Modification nom, prénom, téléphone, e-mail, date de naissance, langue préférée.</t>
  </si>
  <si>
    <t xml:space="preserve">• Changement de téléphone revérifié par OTP
• Modifications enregistrées et visibles immédiatement</t>
  </si>
  <si>
    <t xml:space="preserve">AUTH-05</t>
  </si>
  <si>
    <t xml:space="preserve">Carnet d'adresses</t>
  </si>
  <si>
    <t xml:space="preserve">Adresses multiples avec gouvernorat, délégation, localité, code postal, point de repère et adresse par défaut.</t>
  </si>
  <si>
    <t xml:space="preserve">• Listes déroulantes dépendantes gouvernorat → délégation → localité
• Champ « point de repère »
• Une adresse par défaut</t>
  </si>
  <si>
    <t xml:space="preserve">AUTH-06</t>
  </si>
  <si>
    <t xml:space="preserve">Profil client professionnel (B2B)</t>
  </si>
  <si>
    <t xml:space="preserve">Saisie de la raison sociale et du matricule fiscal pour obtenir des factures B2B.</t>
  </si>
  <si>
    <t xml:space="preserve">• Format du matricule fiscal contrôlé
• Informations reprises sur la facture</t>
  </si>
  <si>
    <t xml:space="preserve">P1</t>
  </si>
  <si>
    <t xml:space="preserve">Intégration du fournisseur SMS</t>
  </si>
  <si>
    <t xml:space="preserve">Connecteur avec un fournisseur SMS couvrant Ooredoo, Orange et Tunisie Télécom.</t>
  </si>
  <si>
    <t xml:space="preserve">• Envoi testé sur les 3 opérateurs
• Journal des envois
• Bascule possible vers un fournisseur de secours</t>
  </si>
  <si>
    <t xml:space="preserve">Intégration</t>
  </si>
  <si>
    <t xml:space="preserve">AUTH-08</t>
  </si>
  <si>
    <t xml:space="preserve">Connexion sociale Google / Facebook / Apple</t>
  </si>
  <si>
    <t xml:space="preserve">Connexion en un clic via les comptes sociaux.</t>
  </si>
  <si>
    <t xml:space="preserve">• Les 3 fournisseurs fonctionnent
• Compte existant lié par e-mail</t>
  </si>
  <si>
    <t xml:space="preserve">AUTH-09</t>
  </si>
  <si>
    <t xml:space="preserve">Authentification à deux facteurs</t>
  </si>
  <si>
    <t xml:space="preserve">Activation optionnelle du 2FA par SMS pour les clients, obligatoire pour les vendeurs et le staff.</t>
  </si>
  <si>
    <t xml:space="preserve">• 2FA obligatoire pour les rôles vendeur et admin
• Activation / désactivation depuis le profil</t>
  </si>
  <si>
    <t xml:space="preserve">AUTH-10</t>
  </si>
  <si>
    <t xml:space="preserve">Suppression du compte et export des données</t>
  </si>
  <si>
    <t xml:space="preserve">Le client peut exporter ses données personnelles et demander la suppression de son compte (INPDP).</t>
  </si>
  <si>
    <t xml:space="preserve">• Export JSON/PDF téléchargeable
• Suppression effective sous 30 jours
• Factures conservées selon obligations légales</t>
  </si>
  <si>
    <t xml:space="preserve">AUTH-11</t>
  </si>
  <si>
    <t xml:space="preserve">Gestion des rôles et permissions (RBAC)</t>
  </si>
  <si>
    <t xml:space="preserve">Rôles : client, vendeur, sous-compte vendeur, agent SAV, modérateur, finance, admin ; permissions fines.</t>
  </si>
  <si>
    <t xml:space="preserve">• Chaque route API protégée par permission
• Rôles configurables dans le back-office</t>
  </si>
  <si>
    <t xml:space="preserve">CAT-01</t>
  </si>
  <si>
    <t xml:space="preserve">Arborescence de catégories multi-niveaux</t>
  </si>
  <si>
    <t xml:space="preserve">Catégories et sous-catégories multilingues avec icônes et ordre d'affichage.</t>
  </si>
  <si>
    <t xml:space="preserve">• Profondeur illimitée
• Nom en ar / fr / en
• Menu de navigation généré automatiquement</t>
  </si>
  <si>
    <t xml:space="preserve">CAT-02</t>
  </si>
  <si>
    <t xml:space="preserve">Attributs dynamiques par catégorie</t>
  </si>
  <si>
    <t xml:space="preserve">Chaque catégorie définit ses attributs (taille, couleur, capacité…) utilisés en saisie et en filtres.</t>
  </si>
  <si>
    <t xml:space="preserve">• Types : texte, nombre, liste, booléen
• Attributs obligatoires / facultatifs</t>
  </si>
  <si>
    <t xml:space="preserve">CAT-03</t>
  </si>
  <si>
    <t xml:space="preserve">Gestion des marques</t>
  </si>
  <si>
    <t xml:space="preserve">Référentiel des marques avec logo.</t>
  </si>
  <si>
    <t xml:space="preserve">• Création, modification, fusion de doublons</t>
  </si>
  <si>
    <t xml:space="preserve">CAT-04</t>
  </si>
  <si>
    <t xml:space="preserve">Modèle produit / variantes / offres</t>
  </si>
  <si>
    <t xml:space="preserve">Un produit a des variantes (SKU) ; chaque variante peut avoir plusieurs offres de vendeurs différents (prix, stock, état).</t>
  </si>
  <si>
    <t xml:space="preserve">• Plusieurs vendeurs sur un même produit
• Identifiant EAN/GTIN unique par variante</t>
  </si>
  <si>
    <t xml:space="preserve">CAT-05</t>
  </si>
  <si>
    <t xml:space="preserve">Moteur de recherche plein texte</t>
  </si>
  <si>
    <t xml:space="preserve">Indexation des produits dans OpenSearch/Meilisearch ; recherche multilingue tolérante aux fautes.</t>
  </si>
  <si>
    <t xml:space="preserve">• Résultats &lt; 300 ms
• Fautes de frappe tolérées
• Recherche en arabe, français, anglais</t>
  </si>
  <si>
    <t xml:space="preserve">CAT-06</t>
  </si>
  <si>
    <t xml:space="preserve">Autocomplétion de la recherche</t>
  </si>
  <si>
    <t xml:space="preserve">Suggestions de produits, catégories et marques pendant la saisie.</t>
  </si>
  <si>
    <t xml:space="preserve">• Suggestions dès 2 caractères
• Navigation au clavier</t>
  </si>
  <si>
    <t xml:space="preserve">CAT-07</t>
  </si>
  <si>
    <t xml:space="preserve">Synonymes et translittération derja</t>
  </si>
  <si>
    <t xml:space="preserve">Dictionnaire de synonymes éditable (ex. « tilifoun » → téléphone).</t>
  </si>
  <si>
    <t xml:space="preserve">• Synonymes gérés dans le back-office
• Prise en compte sans réindexation complète</t>
  </si>
  <si>
    <t xml:space="preserve">CAT-08</t>
  </si>
  <si>
    <t xml:space="preserve">Filtres de recherche</t>
  </si>
  <si>
    <t xml:space="preserve">Filtres : catégorie, prix, marque, note, vendeur, disponibilité, livraison rapide, état, attributs dynamiques.</t>
  </si>
  <si>
    <t xml:space="preserve">• Compteurs de résultats par filtre
• Filtres combinables
• URL partageable avec les filtres</t>
  </si>
  <si>
    <t xml:space="preserve">CAT-09</t>
  </si>
  <si>
    <t xml:space="preserve">Tri et pagination des résultats</t>
  </si>
  <si>
    <t xml:space="preserve">Tri par pertinence, prix, nouveautés, meilleures ventes, mieux notés ; pagination / défilement infini.</t>
  </si>
  <si>
    <t xml:space="preserve">• 5 options de tri
• Pagination sans doublon</t>
  </si>
  <si>
    <t xml:space="preserve">CAT-10</t>
  </si>
  <si>
    <t xml:space="preserve">Page d'accueil</t>
  </si>
  <si>
    <t xml:space="preserve">Bannières, catégories phares, meilleures ventes, nouveautés, ventes flash, « Made in Tunisia ».</t>
  </si>
  <si>
    <t xml:space="preserve">• Blocs configurables depuis le back-office
• Chargement &lt; 2,5 s en 4G</t>
  </si>
  <si>
    <t xml:space="preserve">ADM-06</t>
  </si>
  <si>
    <t xml:space="preserve">CAT-11</t>
  </si>
  <si>
    <t xml:space="preserve">Recommandations produits</t>
  </si>
  <si>
    <t xml:space="preserve">« Achetés ensemble », « Les clients ont aussi acheté », produits récemment consultés.</t>
  </si>
  <si>
    <t xml:space="preserve">• Blocs affichés sur la fiche produit et le panier
• Mise à jour quotidienne</t>
  </si>
  <si>
    <t xml:space="preserve">ORD-01</t>
  </si>
  <si>
    <t xml:space="preserve">CAT-12</t>
  </si>
  <si>
    <t xml:space="preserve">SEO technique</t>
  </si>
  <si>
    <t xml:space="preserve">URLs propres, balises meta, sitemap XML, données structurées schema.org Product, hreflang ar/fr/en.</t>
  </si>
  <si>
    <t xml:space="preserve">• Sitemap généré automatiquement
• Score Lighthouse SEO ≥ 90</t>
  </si>
  <si>
    <t xml:space="preserve">PDP-01</t>
  </si>
  <si>
    <t xml:space="preserve">CAT-13</t>
  </si>
  <si>
    <t xml:space="preserve">Recherche vocale et par image</t>
  </si>
  <si>
    <t xml:space="preserve">Recherche par la voix et par photo.</t>
  </si>
  <si>
    <t xml:space="preserve">• Fonctionne sur mobile
• Résultats pertinents sur un jeu de test</t>
  </si>
  <si>
    <t xml:space="preserve">P2</t>
  </si>
  <si>
    <t xml:space="preserve">Affichage de la fiche produit</t>
  </si>
  <si>
    <t xml:space="preserve">Titre, marque, galerie avec zoom, vidéo, description, caractéristiques, contenu du coffret, garantie.</t>
  </si>
  <si>
    <t xml:space="preserve">• Galerie avec zoom
• Contenu dans la langue choisie
• Responsive mobile</t>
  </si>
  <si>
    <t xml:space="preserve">PDP-02</t>
  </si>
  <si>
    <t xml:space="preserve">Sélection des variantes</t>
  </si>
  <si>
    <t xml:space="preserve">Choix couleur / taille / capacité avec mise à jour du prix, du stock et des images.</t>
  </si>
  <si>
    <t xml:space="preserve">• Variantes indisponibles grisées
• URL propre à chaque variante</t>
  </si>
  <si>
    <t xml:space="preserve">PDP-03</t>
  </si>
  <si>
    <t xml:space="preserve">Prix, promotions et prix unitaire</t>
  </si>
  <si>
    <t xml:space="preserve">Prix TND, prix barré, % de réduction, prix au kg / litre.</t>
  </si>
  <si>
    <t xml:space="preserve">• Calcul du % automatique
• Promotion limitée dans le temps affichée</t>
  </si>
  <si>
    <t xml:space="preserve">PDP-04</t>
  </si>
  <si>
    <t xml:space="preserve">Date de livraison estimée par gouvernorat</t>
  </si>
  <si>
    <t xml:space="preserve">Estimation selon l'adresse du client et le mode d'expédition.</t>
  </si>
  <si>
    <t xml:space="preserve">• Gouvernorat modifiable sur la fiche
• Estimation cohérente avec la grille logistique</t>
  </si>
  <si>
    <t xml:space="preserve">SHIP-01</t>
  </si>
  <si>
    <t xml:space="preserve">PDP-05</t>
  </si>
  <si>
    <t xml:space="preserve">Buy Box et « Autres vendeurs »</t>
  </si>
  <si>
    <t xml:space="preserve">Sélection automatique de l'offre principale (prix, délai, performance vendeur) et liste des autres offres.</t>
  </si>
  <si>
    <t xml:space="preserve">• Algorithme documenté et paramétrable
• Liste des autres vendeurs triée par prix</t>
  </si>
  <si>
    <t xml:space="preserve">PDP-06</t>
  </si>
  <si>
    <t xml:space="preserve">Bloc vendeur</t>
  </si>
  <si>
    <t xml:space="preserve">Nom du vendeur, note, lien vers sa boutique, badge « Expédié par Tunexa ».</t>
  </si>
  <si>
    <t xml:space="preserve">• Lien vers la boutique fonctionnel
• Note vendeur affichée</t>
  </si>
  <si>
    <t xml:space="preserve">SELL-01</t>
  </si>
  <si>
    <t xml:space="preserve">PDP-07</t>
  </si>
  <si>
    <t xml:space="preserve">Partage et signalement</t>
  </si>
  <si>
    <t xml:space="preserve">Partage WhatsApp / Facebook / lien ; signalement (contrefaçon, contenu inapproprié).</t>
  </si>
  <si>
    <t xml:space="preserve">• Signalement visible dans la modération
• Aperçu correct lors du partage</t>
  </si>
  <si>
    <t xml:space="preserve">CART-01</t>
  </si>
  <si>
    <t xml:space="preserve">Panier</t>
  </si>
  <si>
    <t xml:space="preserve">Ajout, suppression, modification des quantités, limite par client, regroupement par vendeur.</t>
  </si>
  <si>
    <t xml:space="preserve">• Panier mis à jour sans rechargement
• Limite de quantité respectée</t>
  </si>
  <si>
    <t xml:space="preserve">CART-02</t>
  </si>
  <si>
    <t xml:space="preserve">Panier persistant et fusion invité → compte</t>
  </si>
  <si>
    <t xml:space="preserve">Le panier est conservé et fusionné à la connexion.</t>
  </si>
  <si>
    <t xml:space="preserve">• Panier retrouvé sur un autre appareil
• Fusion sans doublon</t>
  </si>
  <si>
    <t xml:space="preserve">CART-03</t>
  </si>
  <si>
    <t xml:space="preserve">Calcul des totaux</t>
  </si>
  <si>
    <t xml:space="preserve">Sous-total, frais de livraison, réductions, TVA incluse, timbre fiscal, total.</t>
  </si>
  <si>
    <t xml:space="preserve">• Calcul identique côté serveur et affichage
• Arrondi au millime</t>
  </si>
  <si>
    <t xml:space="preserve">CART-04</t>
  </si>
  <si>
    <t xml:space="preserve">Enregistrer pour plus tard</t>
  </si>
  <si>
    <t xml:space="preserve">Déplacer un article du panier vers une liste « plus tard ».</t>
  </si>
  <si>
    <t xml:space="preserve">• Article déplaçable dans les deux sens</t>
  </si>
  <si>
    <t xml:space="preserve">CART-05</t>
  </si>
  <si>
    <t xml:space="preserve">Tunnel de commande (checkout)</t>
  </si>
  <si>
    <t xml:space="preserve">Étapes : adresse → livraison → paiement → code promo → récapitulatif → confirmation.</t>
  </si>
  <si>
    <t xml:space="preserve">• Vérification du stock et du prix avant validation
• Commande créée de façon atomique
• Récapitulatif complet</t>
  </si>
  <si>
    <t xml:space="preserve">CART-06</t>
  </si>
  <si>
    <t xml:space="preserve">Commande en mode invité</t>
  </si>
  <si>
    <t xml:space="preserve">Commande sans compte, avec téléphone vérifié par OTP.</t>
  </si>
  <si>
    <t xml:space="preserve">• OTP obligatoire
• Suivi de commande par lien SMS</t>
  </si>
  <si>
    <t xml:space="preserve">CART-07</t>
  </si>
  <si>
    <t xml:space="preserve">Confirmation des commandes COD</t>
  </si>
  <si>
    <t xml:space="preserve">Confirmation de la commande en paiement à la livraison par SMS ou appel automatique.</t>
  </si>
  <si>
    <t xml:space="preserve">• Commande non confirmée sous 24 h annulée automatiquement
• Statut visible par l'équipe</t>
  </si>
  <si>
    <t xml:space="preserve">PAY-01</t>
  </si>
  <si>
    <t xml:space="preserve">CART-08</t>
  </si>
  <si>
    <t xml:space="preserve">Option facture B2B au checkout</t>
  </si>
  <si>
    <t xml:space="preserve">Demander une facture au nom de l'entreprise avec matricule fiscal.</t>
  </si>
  <si>
    <t xml:space="preserve">• Données B2B reprises sur la facture</t>
  </si>
  <si>
    <t xml:space="preserve">Paiement à la livraison (COD)</t>
  </si>
  <si>
    <t xml:space="preserve">Paiement en espèces à la réception, plafond et frais COD configurables.</t>
  </si>
  <si>
    <t xml:space="preserve">• Plafond paramétrable
• Frais COD affichés avant validation</t>
  </si>
  <si>
    <t xml:space="preserve">PAY-02</t>
  </si>
  <si>
    <t xml:space="preserve">Couche d'abstraction des passerelles de paiement</t>
  </si>
  <si>
    <t xml:space="preserve">Interface commune permettant de brancher plusieurs passerelles.</t>
  </si>
  <si>
    <t xml:space="preserve">• Ajout d'une passerelle sans toucher au checkout
• Webhooks idempotents</t>
  </si>
  <si>
    <t xml:space="preserve">PAY-03</t>
  </si>
  <si>
    <t xml:space="preserve">Paiement par carte bancaire (passerelle locale)</t>
  </si>
  <si>
    <t xml:space="preserve">Intégration d'une passerelle agréée en Tunisie avec 3-D Secure.</t>
  </si>
  <si>
    <t xml:space="preserve">• Paiement réussi / refusé / expiré gérés
• Aucune donnée carte stockée
• Tests en environnement sandbox validés</t>
  </si>
  <si>
    <t xml:space="preserve">PAY-04</t>
  </si>
  <si>
    <t xml:space="preserve">Remboursements totaux et partiels</t>
  </si>
  <si>
    <t xml:space="preserve">Remboursement vers la carte ou le wallet.</t>
  </si>
  <si>
    <t xml:space="preserve">• Montant partiel possible
• Historique des remboursements</t>
  </si>
  <si>
    <t xml:space="preserve">PAY-05</t>
  </si>
  <si>
    <t xml:space="preserve">Paiement e-Dinar / D17</t>
  </si>
  <si>
    <t xml:space="preserve">Intégration du moyen de paiement de La Poste Tunisienne.</t>
  </si>
  <si>
    <t xml:space="preserve">• Paiement de bout en bout validé en sandbox</t>
  </si>
  <si>
    <t xml:space="preserve">PAY-06</t>
  </si>
  <si>
    <t xml:space="preserve">Tunexa Wallet</t>
  </si>
  <si>
    <t xml:space="preserve">Solde client alimenté par les remboursements, avoirs et cashback, utilisable au checkout.</t>
  </si>
  <si>
    <t xml:space="preserve">• Historique des mouvements
• Paiement mixte wallet + autre moyen</t>
  </si>
  <si>
    <t xml:space="preserve">PAY-07</t>
  </si>
  <si>
    <t xml:space="preserve">Cartes cadeaux</t>
  </si>
  <si>
    <t xml:space="preserve">Achat et utilisation de cartes cadeaux numériques.</t>
  </si>
  <si>
    <t xml:space="preserve">• Code unique
• Solde consultable
• Envoi par e-mail / SMS</t>
  </si>
  <si>
    <t xml:space="preserve">PAY-08</t>
  </si>
  <si>
    <t xml:space="preserve">Virement bancaire B2B</t>
  </si>
  <si>
    <t xml:space="preserve">Paiement par virement avec validation manuelle par la finance.</t>
  </si>
  <si>
    <t xml:space="preserve">• Commande en attente jusqu'à validation
• Annulation auto après délai</t>
  </si>
  <si>
    <t xml:space="preserve">PAY-09</t>
  </si>
  <si>
    <t xml:space="preserve">Paiement en plusieurs fois</t>
  </si>
  <si>
    <t xml:space="preserve">Partenariat avec un organisme de crédit / banque.</t>
  </si>
  <si>
    <t xml:space="preserve">• Simulation affichée sur la fiche produit</t>
  </si>
  <si>
    <t xml:space="preserve">PAY-10</t>
  </si>
  <si>
    <t xml:space="preserve">Paiement par carte internationale (diaspora)</t>
  </si>
  <si>
    <t xml:space="preserve">Commandes passées depuis l'étranger avec livraison en Tunisie.</t>
  </si>
  <si>
    <t xml:space="preserve">• Paiement devise étrangère accepté</t>
  </si>
  <si>
    <t xml:space="preserve">Grille tarifaire de livraison</t>
  </si>
  <si>
    <t xml:space="preserve">Tarifs par zone (gouvernorat), poids / volume et mode ; seuil de livraison gratuite.</t>
  </si>
  <si>
    <t xml:space="preserve">• Grille éditable dans le back-office
• Seuil de gratuité paramétrable</t>
  </si>
  <si>
    <t xml:space="preserve">SHIP-02</t>
  </si>
  <si>
    <t xml:space="preserve">Intégration transporteur n°1</t>
  </si>
  <si>
    <t xml:space="preserve">API : création d'expédition, étiquette, numéro de suivi, statuts, collecte COD.</t>
  </si>
  <si>
    <t xml:space="preserve">• Étiquette PDF générée
• Statuts synchronisés automatiquement</t>
  </si>
  <si>
    <t xml:space="preserve">SHIP-03</t>
  </si>
  <si>
    <t xml:space="preserve">Intégration transporteur n°2 / Rapid-Poste</t>
  </si>
  <si>
    <t xml:space="preserve">Second transporteur pour la couverture nationale.</t>
  </si>
  <si>
    <t xml:space="preserve">• Choix du transporteur par zone</t>
  </si>
  <si>
    <t xml:space="preserve">SHIP-04</t>
  </si>
  <si>
    <t xml:space="preserve">Suivi de colis client</t>
  </si>
  <si>
    <t xml:space="preserve">Chronologie des statuts et numéro de suivi dans « Mes commandes ».</t>
  </si>
  <si>
    <t xml:space="preserve">• Statuts mis à jour en moins de 15 min</t>
  </si>
  <si>
    <t xml:space="preserve">SHIP-05</t>
  </si>
  <si>
    <t xml:space="preserve">Gestion des échecs de livraison et refus COD</t>
  </si>
  <si>
    <t xml:space="preserve">Nouvelles tentatives, retour à l'expéditeur, historique des refus par client.</t>
  </si>
  <si>
    <t xml:space="preserve">• Nombre de tentatives paramétrable
• Refus comptabilisés pour l'anti-fraude</t>
  </si>
  <si>
    <t xml:space="preserve">SHIP-06</t>
  </si>
  <si>
    <t xml:space="preserve">Rapprochement des fonds COD</t>
  </si>
  <si>
    <t xml:space="preserve">Comparaison des montants encaissés par les transporteurs avec les commandes livrées.</t>
  </si>
  <si>
    <t xml:space="preserve">• Import des relevés transporteurs
• Écarts signalés</t>
  </si>
  <si>
    <t xml:space="preserve">SHIP-07</t>
  </si>
  <si>
    <t xml:space="preserve">Livraison express J+1</t>
  </si>
  <si>
    <t xml:space="preserve">Mode express dans les grandes villes.</t>
  </si>
  <si>
    <t xml:space="preserve">• Disponible selon l'adresse
• Tarif spécifique</t>
  </si>
  <si>
    <t xml:space="preserve">SHIP-08</t>
  </si>
  <si>
    <t xml:space="preserve">Retrait en point relais / lockers</t>
  </si>
  <si>
    <t xml:space="preserve">Choix d'un point relais sur une carte au checkout.</t>
  </si>
  <si>
    <t xml:space="preserve">• Carte des points relais
• Notification à l'arrivée du colis</t>
  </si>
  <si>
    <t xml:space="preserve">SHIP-09</t>
  </si>
  <si>
    <t xml:space="preserve">Livraison des produits volumineux sur créneau</t>
  </si>
  <si>
    <t xml:space="preserve">Prise de rendez-vous et installation optionnelle pour l'électroménager.</t>
  </si>
  <si>
    <t xml:space="preserve">• Choix d'un créneau
• Option installation facturée</t>
  </si>
  <si>
    <t xml:space="preserve">SHIP-10</t>
  </si>
  <si>
    <t xml:space="preserve">Application livreur (flotte propre)</t>
  </si>
  <si>
    <t xml:space="preserve">Tournées, scan, preuve de livraison (photo / OTP), encaissement COD.</t>
  </si>
  <si>
    <t xml:space="preserve">• Fonctionne hors connexion
• Preuve de livraison enregistrée</t>
  </si>
  <si>
    <t xml:space="preserve">Machine à états des commandes</t>
  </si>
  <si>
    <t xml:space="preserve">Statuts : en attente de paiement, confirmée, en préparation, expédiée, en livraison, livrée, annulée, échec, retournée.</t>
  </si>
  <si>
    <t xml:space="preserve">• Transitions interdites bloquées
• Historique horodaté</t>
  </si>
  <si>
    <t xml:space="preserve">ORD-02</t>
  </si>
  <si>
    <t xml:space="preserve">Éclatement de commande en sous-commandes</t>
  </si>
  <si>
    <t xml:space="preserve">Une commande multi-vendeurs génère une sous-commande / un colis par vendeur.</t>
  </si>
  <si>
    <t xml:space="preserve">• Chaque vendeur ne voit que sa sous-commande
• Statut global calculé</t>
  </si>
  <si>
    <t xml:space="preserve">ORD-03</t>
  </si>
  <si>
    <t xml:space="preserve">Historique des commandes client</t>
  </si>
  <si>
    <t xml:space="preserve">Liste, détail, statut, facture, bouton « Acheter à nouveau ».</t>
  </si>
  <si>
    <t xml:space="preserve">• Filtre par période
• Facture téléchargeable</t>
  </si>
  <si>
    <t xml:space="preserve">ORD-04</t>
  </si>
  <si>
    <t xml:space="preserve">Annulation par le client</t>
  </si>
  <si>
    <t xml:space="preserve">Annulation possible avant expédition, avec remboursement automatique si payé.</t>
  </si>
  <si>
    <t xml:space="preserve">• Bouton masqué après expédition
• Remboursement déclenché</t>
  </si>
  <si>
    <t xml:space="preserve">ORD-05</t>
  </si>
  <si>
    <t xml:space="preserve">Demande de retour</t>
  </si>
  <si>
    <t xml:space="preserve">Motif, photos, choix enlèvement / dépôt ; produits non retournables exclus.</t>
  </si>
  <si>
    <t xml:space="preserve">• Délai de rétractation paramétrable
• Catégories non retournables configurables</t>
  </si>
  <si>
    <t xml:space="preserve">ORD-06</t>
  </si>
  <si>
    <t xml:space="preserve">Traitement des retours</t>
  </si>
  <si>
    <t xml:space="preserve">Réception, inspection, acceptation / refus, remboursement ou échange.</t>
  </si>
  <si>
    <t xml:space="preserve">• Décision notifiée au client
• Remboursement déclenché à l'acceptation</t>
  </si>
  <si>
    <t xml:space="preserve">ORD-07</t>
  </si>
  <si>
    <t xml:space="preserve">Garantie A-à-Z Tunexa</t>
  </si>
  <si>
    <t xml:space="preserve">Litige client / vendeur arbitré par Tunexa (non reçu, non conforme).</t>
  </si>
  <si>
    <t xml:space="preserve">• Ouverture d'un litige depuis la commande
• Décision et remboursement par Tunexa</t>
  </si>
  <si>
    <t xml:space="preserve">Inscription vendeur et KYC</t>
  </si>
  <si>
    <t xml:space="preserve">Formulaire : raison sociale, matricule fiscal, RNE, CIN, RIB, adresse d'enlèvement, contrat.</t>
  </si>
  <si>
    <t xml:space="preserve">• Téléversement des documents
• Statut KYC : en attente / validé / refusé</t>
  </si>
  <si>
    <t xml:space="preserve">SELL-02</t>
  </si>
  <si>
    <t xml:space="preserve">Validation KYC par l'équipe Tunexa</t>
  </si>
  <si>
    <t xml:space="preserve">Écran de revue des documents avec validation / refus motivé.</t>
  </si>
  <si>
    <t xml:space="preserve">• Motif de refus envoyé au vendeur
• Historique des décisions</t>
  </si>
  <si>
    <t xml:space="preserve">SELL-03</t>
  </si>
  <si>
    <t xml:space="preserve">Création de produit guidée</t>
  </si>
  <si>
    <t xml:space="preserve">Formulaire par catégorie ou rattachement à une fiche existante via EAN.</t>
  </si>
  <si>
    <t xml:space="preserve">• Attributs obligatoires contrôlés
• Détection de doublon par EAN</t>
  </si>
  <si>
    <t xml:space="preserve">SELL-04</t>
  </si>
  <si>
    <t xml:space="preserve">Import / export en masse (Excel / CSV)</t>
  </si>
  <si>
    <t xml:space="preserve">Création et mise à jour de produits, prix et stocks par fichier.</t>
  </si>
  <si>
    <t xml:space="preserve">• Modèle Excel téléchargeable
• Rapport d'erreurs ligne par ligne
• 10 000 lignes supportées</t>
  </si>
  <si>
    <t xml:space="preserve">SELL-05</t>
  </si>
  <si>
    <t xml:space="preserve">Workflow de modération des produits</t>
  </si>
  <si>
    <t xml:space="preserve">Produits soumis à validation avant publication.</t>
  </si>
  <si>
    <t xml:space="preserve">• Statuts : brouillon / en revue / publié / refusé
• Motif de refus visible</t>
  </si>
  <si>
    <t xml:space="preserve">SELL-06</t>
  </si>
  <si>
    <t xml:space="preserve">Gestion des prix et des stocks</t>
  </si>
  <si>
    <t xml:space="preserve">Prix, prix promo avec dates, quantités, alerte de stock bas.</t>
  </si>
  <si>
    <t xml:space="preserve">• Modification en ligne dans la liste
• Alerte e-mail sous le seuil</t>
  </si>
  <si>
    <t xml:space="preserve">SELL-07</t>
  </si>
  <si>
    <t xml:space="preserve">Traitement des commandes vendeur</t>
  </si>
  <si>
    <t xml:space="preserve">Liste des commandes, acceptation, bon de livraison, étiquette, délai de préparation.</t>
  </si>
  <si>
    <t xml:space="preserve">• Compte à rebours SLA
• Impression des étiquettes en lot</t>
  </si>
  <si>
    <t xml:space="preserve">SELL-08</t>
  </si>
  <si>
    <t xml:space="preserve">Finances vendeur</t>
  </si>
  <si>
    <t xml:space="preserve">Solde, ventes, commissions, frais, remboursements, relevés.</t>
  </si>
  <si>
    <t xml:space="preserve">• Relevé téléchargeable
• Détail par commande</t>
  </si>
  <si>
    <t xml:space="preserve">FIN-04</t>
  </si>
  <si>
    <t xml:space="preserve">SELL-09</t>
  </si>
  <si>
    <t xml:space="preserve">Virements périodiques aux vendeurs</t>
  </si>
  <si>
    <t xml:space="preserve">Calcul et génération des virements sur RIB après délai de sécurité.</t>
  </si>
  <si>
    <t xml:space="preserve">• Fréquence paramétrable
• Fichier de virement bancaire généré</t>
  </si>
  <si>
    <t xml:space="preserve">SELL-10</t>
  </si>
  <si>
    <t xml:space="preserve">Tableau de bord vendeur et performance</t>
  </si>
  <si>
    <t xml:space="preserve">CA, commandes, conversion ; taux d'annulation, retards, retours, note.</t>
  </si>
  <si>
    <t xml:space="preserve">• Indicateurs sur 7 / 30 / 90 jours
• Sanction automatique sous seuil</t>
  </si>
  <si>
    <t xml:space="preserve">SELL-11</t>
  </si>
  <si>
    <t xml:space="preserve">Boutique vendeur</t>
  </si>
  <si>
    <t xml:space="preserve">Page publique avec logo, bannière, présentation et produits.</t>
  </si>
  <si>
    <t xml:space="preserve">• URL unique par boutique</t>
  </si>
  <si>
    <t xml:space="preserve">SELL-12</t>
  </si>
  <si>
    <t xml:space="preserve">Sous-comptes vendeur</t>
  </si>
  <si>
    <t xml:space="preserve">Utilisateurs supplémentaires avec permissions (catalogue, commandes, finances).</t>
  </si>
  <si>
    <t xml:space="preserve">• Permissions appliquées par module</t>
  </si>
  <si>
    <t xml:space="preserve">SELL-13</t>
  </si>
  <si>
    <t xml:space="preserve">Publicité : produits sponsorisés</t>
  </si>
  <si>
    <t xml:space="preserve">Campagnes au coût par clic, budget, mots-clés, rapports.</t>
  </si>
  <si>
    <t xml:space="preserve">• Budget quotidien respecté
• Rapport clics / ventes</t>
  </si>
  <si>
    <t xml:space="preserve">SELL-14</t>
  </si>
  <si>
    <t xml:space="preserve">API vendeur</t>
  </si>
  <si>
    <t xml:space="preserve">API pour synchroniser catalogue, stocks et commandes depuis un ERP.</t>
  </si>
  <si>
    <t xml:space="preserve">• Documentation publique
• Clés API par vendeur</t>
  </si>
  <si>
    <t xml:space="preserve">REV-01</t>
  </si>
  <si>
    <t xml:space="preserve">Avis et notes produits</t>
  </si>
  <si>
    <t xml:space="preserve">Note 1–5, commentaire, photos ; badge « Achat vérifié ».</t>
  </si>
  <si>
    <t xml:space="preserve">• Seuls les acheteurs livrés peuvent noter
• Note moyenne recalculée</t>
  </si>
  <si>
    <t xml:space="preserve">REV-02</t>
  </si>
  <si>
    <t xml:space="preserve">Note vendeur</t>
  </si>
  <si>
    <t xml:space="preserve">Évaluation du vendeur après livraison.</t>
  </si>
  <si>
    <t xml:space="preserve">• Note distincte de celle du produit</t>
  </si>
  <si>
    <t xml:space="preserve">REV-03</t>
  </si>
  <si>
    <t xml:space="preserve">Modération des avis</t>
  </si>
  <si>
    <t xml:space="preserve">Filtrage automatique (mots interdits) et file de modération manuelle.</t>
  </si>
  <si>
    <t xml:space="preserve">• Avis signalés masqués en attente de revue</t>
  </si>
  <si>
    <t xml:space="preserve">REV-04</t>
  </si>
  <si>
    <t xml:space="preserve">Votes « utile » et tri des avis</t>
  </si>
  <si>
    <t xml:space="preserve">Les clients votent pour les avis utiles ; tri et filtrage par note.</t>
  </si>
  <si>
    <t xml:space="preserve">• Un vote par client et par avis</t>
  </si>
  <si>
    <t xml:space="preserve">REV-05</t>
  </si>
  <si>
    <t xml:space="preserve">Réponse du vendeur aux avis</t>
  </si>
  <si>
    <t xml:space="preserve">Le vendeur répond publiquement à un avis.</t>
  </si>
  <si>
    <t xml:space="preserve">• Une réponse par avis</t>
  </si>
  <si>
    <t xml:space="preserve">REV-06</t>
  </si>
  <si>
    <t xml:space="preserve">Questions / réponses produit</t>
  </si>
  <si>
    <t xml:space="preserve">Questions des clients, réponses des vendeurs et de la communauté.</t>
  </si>
  <si>
    <t xml:space="preserve">• Notification au vendeur
• Questions modérées</t>
  </si>
  <si>
    <t xml:space="preserve">MKT-01</t>
  </si>
  <si>
    <t xml:space="preserve">Codes promo</t>
  </si>
  <si>
    <t xml:space="preserve">Pourcentage / montant fixe, minimum d'achat, ciblage catégorie / vendeur / produit, usage, expiration.</t>
  </si>
  <si>
    <t xml:space="preserve">• Règles cumulables ou non paramétrables
• Usage par client limité</t>
  </si>
  <si>
    <t xml:space="preserve">MKT-02</t>
  </si>
  <si>
    <t xml:space="preserve">Bannière de consentement et analytics</t>
  </si>
  <si>
    <t xml:space="preserve">Consentement cookies, Google Analytics, pixel Meta.</t>
  </si>
  <si>
    <t xml:space="preserve">• Aucun traceur avant consentement
• Événements e-commerce suivis</t>
  </si>
  <si>
    <t xml:space="preserve">MKT-03</t>
  </si>
  <si>
    <t xml:space="preserve">Liste d'envies</t>
  </si>
  <si>
    <t xml:space="preserve">Listes multiples, partageables (mariage, naissance, Aïd).</t>
  </si>
  <si>
    <t xml:space="preserve">• Lien de partage
• Ajout depuis liste et fiche produit</t>
  </si>
  <si>
    <t xml:space="preserve">MKT-04</t>
  </si>
  <si>
    <t xml:space="preserve">Alertes prix et retour en stock</t>
  </si>
  <si>
    <t xml:space="preserve">Le client est notifié d'une baisse de prix ou d'un retour en stock.</t>
  </si>
  <si>
    <t xml:space="preserve">• Notification push / e-mail envoyée</t>
  </si>
  <si>
    <t xml:space="preserve">NOTIF-01</t>
  </si>
  <si>
    <t xml:space="preserve">MKT-05</t>
  </si>
  <si>
    <t xml:space="preserve">Ventes flash</t>
  </si>
  <si>
    <t xml:space="preserve">Offres limitées dans le temps et en stock avec compte à rebours.</t>
  </si>
  <si>
    <t xml:space="preserve">• Arrêt automatique à la fin ou rupture</t>
  </si>
  <si>
    <t xml:space="preserve">MKT-06</t>
  </si>
  <si>
    <t xml:space="preserve">Offres groupées et « X achetés = Y offert »</t>
  </si>
  <si>
    <t xml:space="preserve">Bundles et promotions quantitatives.</t>
  </si>
  <si>
    <t xml:space="preserve">• Réduction appliquée automatiquement au panier</t>
  </si>
  <si>
    <t xml:space="preserve">MKT-07</t>
  </si>
  <si>
    <t xml:space="preserve">Parrainage</t>
  </si>
  <si>
    <t xml:space="preserve">Crédit wallet pour le parrain et le filleul après la 1re commande.</t>
  </si>
  <si>
    <t xml:space="preserve">• Lien de parrainage unique
• Anti-abus (même téléphone / adresse)</t>
  </si>
  <si>
    <t xml:space="preserve">MKT-08</t>
  </si>
  <si>
    <t xml:space="preserve">Relance de panier abandonné</t>
  </si>
  <si>
    <t xml:space="preserve">Relance par e-mail, SMS, push après X heures.</t>
  </si>
  <si>
    <t xml:space="preserve">• Délai paramétrable
• Désinscription possible</t>
  </si>
  <si>
    <t xml:space="preserve">MKT-09</t>
  </si>
  <si>
    <t xml:space="preserve">Campagnes e-mail / SMS segmentées</t>
  </si>
  <si>
    <t xml:space="preserve">Segmentation (gouvernorat, catégories achetées, inactivité) et envoi de campagnes.</t>
  </si>
  <si>
    <t xml:space="preserve">• Prévisualisation
• Statistiques d'ouverture / clic</t>
  </si>
  <si>
    <t xml:space="preserve">MKT-10</t>
  </si>
  <si>
    <t xml:space="preserve">Pages événementielles</t>
  </si>
  <si>
    <t xml:space="preserve">Pages Ramadan, Aïd, rentrée, Black Friday composées dans le CMS.</t>
  </si>
  <si>
    <t xml:space="preserve">• Programmation par dates</t>
  </si>
  <si>
    <t xml:space="preserve">MKT-11</t>
  </si>
  <si>
    <t xml:space="preserve">Programme de fidélité (points)</t>
  </si>
  <si>
    <t xml:space="preserve">Points par achat, convertibles en réductions.</t>
  </si>
  <si>
    <t xml:space="preserve">• Barème paramétrable
• Expiration des points</t>
  </si>
  <si>
    <t xml:space="preserve">MKT-12</t>
  </si>
  <si>
    <t xml:space="preserve">Programme d'affiliation</t>
  </si>
  <si>
    <t xml:space="preserve">Liens trackés pour influenceurs et sites partenaires, commissions.</t>
  </si>
  <si>
    <t xml:space="preserve">• Attribution sur 30 jours
• Tableau de bord affilié</t>
  </si>
  <si>
    <t xml:space="preserve">Service de notifications multicanal</t>
  </si>
  <si>
    <t xml:space="preserve">Envoi e-mail, SMS, push ; modèles multilingues éditables ; préférences d'opt-in.</t>
  </si>
  <si>
    <t xml:space="preserve">• Modèles éditables dans le back-office
• Préférences respectées</t>
  </si>
  <si>
    <t xml:space="preserve">NOTIF-02</t>
  </si>
  <si>
    <t xml:space="preserve">Notifications du cycle de commande</t>
  </si>
  <si>
    <t xml:space="preserve">Confirmation, expédition, livraison, annulation, retour, remboursement.</t>
  </si>
  <si>
    <t xml:space="preserve">• Un message par changement de statut
• Dans la langue du client</t>
  </si>
  <si>
    <t xml:space="preserve">NOTIF-03</t>
  </si>
  <si>
    <t xml:space="preserve">Notifications vendeur</t>
  </si>
  <si>
    <t xml:space="preserve">Nouvelle commande, stock bas, avis, retour, virement.</t>
  </si>
  <si>
    <t xml:space="preserve">• Notification e-mail + tableau de bord</t>
  </si>
  <si>
    <t xml:space="preserve">NOTIF-04</t>
  </si>
  <si>
    <t xml:space="preserve">Centre de notifications dans le compte</t>
  </si>
  <si>
    <t xml:space="preserve">Historique des notifications avec badge non lu.</t>
  </si>
  <si>
    <t xml:space="preserve">• Marquer comme lu / tout lire</t>
  </si>
  <si>
    <t xml:space="preserve">NOTIF-05</t>
  </si>
  <si>
    <t xml:space="preserve">Notifications WhatsApp Business</t>
  </si>
  <si>
    <t xml:space="preserve">Envoi des statuts de commande via WhatsApp.</t>
  </si>
  <si>
    <t xml:space="preserve">• Modèles approuvés par Meta</t>
  </si>
  <si>
    <t xml:space="preserve">SUP-01</t>
  </si>
  <si>
    <t xml:space="preserve">Centre d'aide / FAQ</t>
  </si>
  <si>
    <t xml:space="preserve">FAQ multilingue avec recherche, éditable dans le CMS.</t>
  </si>
  <si>
    <t xml:space="preserve">• Recherche dans la FAQ
• Catégories de questions</t>
  </si>
  <si>
    <t xml:space="preserve">SUP-02</t>
  </si>
  <si>
    <t xml:space="preserve">Système de tickets</t>
  </si>
  <si>
    <t xml:space="preserve">Formulaire de contact, ticket lié à une commande, pièces jointes, SLA, escalade.</t>
  </si>
  <si>
    <t xml:space="preserve">• Numéro de ticket
• Délai de réponse affiché
• Affectation à un agent</t>
  </si>
  <si>
    <t xml:space="preserve">SUP-03</t>
  </si>
  <si>
    <t xml:space="preserve">Fiche client unifiée pour les agents</t>
  </si>
  <si>
    <t xml:space="preserve">Vue commandes, tickets, retours, historique de contact.</t>
  </si>
  <si>
    <t xml:space="preserve">• Recherche par téléphone / e-mail / n° commande</t>
  </si>
  <si>
    <t xml:space="preserve">SUP-04</t>
  </si>
  <si>
    <t xml:space="preserve">Messagerie client ↔ vendeur</t>
  </si>
  <si>
    <t xml:space="preserve">Échanges sécurisés sans partage des coordonnées personnelles.</t>
  </si>
  <si>
    <t xml:space="preserve">• Numéros / e-mails masqués automatiquement</t>
  </si>
  <si>
    <t xml:space="preserve">SUP-05</t>
  </si>
  <si>
    <t xml:space="preserve">Chat en direct et chatbot</t>
  </si>
  <si>
    <t xml:space="preserve">Chat avec un agent et chatbot (suivi de commande, retours).</t>
  </si>
  <si>
    <t xml:space="preserve">• Bascule chatbot → agent
• Disponible en ar / fr</t>
  </si>
  <si>
    <t xml:space="preserve">ADM-01</t>
  </si>
  <si>
    <t xml:space="preserve">Tableau de bord administrateur</t>
  </si>
  <si>
    <t xml:space="preserve">CA, commandes du jour, panier moyen, nouveaux clients, conversion, retards, tickets.</t>
  </si>
  <si>
    <t xml:space="preserve">• Données rafraîchies toutes les 15 min
• Filtres par période</t>
  </si>
  <si>
    <t xml:space="preserve">ADM-02</t>
  </si>
  <si>
    <t xml:space="preserve">Gestion des utilisateurs et du staff</t>
  </si>
  <si>
    <t xml:space="preserve">Recherche, blocage, réinitialisation, attribution des rôles.</t>
  </si>
  <si>
    <t xml:space="preserve">• Actions tracées dans le journal d'audit</t>
  </si>
  <si>
    <t xml:space="preserve">ADM-03</t>
  </si>
  <si>
    <t xml:space="preserve">Gestion des vendeurs et commissions</t>
  </si>
  <si>
    <t xml:space="preserve">Taux de commission par catégorie / vendeur, suspension, abonnement.</t>
  </si>
  <si>
    <t xml:space="preserve">• Commission appliquée aux nouvelles commandes</t>
  </si>
  <si>
    <t xml:space="preserve">ADM-04</t>
  </si>
  <si>
    <t xml:space="preserve">Gestion du catalogue et modération</t>
  </si>
  <si>
    <t xml:space="preserve">Catégories, attributs, marques, revue des fiches, fusion des doublons.</t>
  </si>
  <si>
    <t xml:space="preserve">• File de modération avec filtres</t>
  </si>
  <si>
    <t xml:space="preserve">ADM-05</t>
  </si>
  <si>
    <t xml:space="preserve">Gestion des commandes (admin)</t>
  </si>
  <si>
    <t xml:space="preserve">Recherche, modification, annulation, remboursement manuel.</t>
  </si>
  <si>
    <t xml:space="preserve">• Toute modification tracée</t>
  </si>
  <si>
    <t xml:space="preserve">CMS : pages, bannières, page d'accueil</t>
  </si>
  <si>
    <t xml:space="preserve">Édition des pages statiques, bannières et blocs de la page d'accueil.</t>
  </si>
  <si>
    <t xml:space="preserve">• Programmation par dates
• Aperçu avant publication</t>
  </si>
  <si>
    <t xml:space="preserve">ADM-07</t>
  </si>
  <si>
    <t xml:space="preserve">Paramètres généraux</t>
  </si>
  <si>
    <t xml:space="preserve">Taxes, seuils, frais COD, délais de rétractation, langues.</t>
  </si>
  <si>
    <t xml:space="preserve">• Modification sans redéploiement</t>
  </si>
  <si>
    <t xml:space="preserve">ADM-08</t>
  </si>
  <si>
    <t xml:space="preserve">Journal d'audit</t>
  </si>
  <si>
    <t xml:space="preserve">Traçabilité des actions sensibles (qui, quoi, quand, avant / après).</t>
  </si>
  <si>
    <t xml:space="preserve">• Non modifiable
• Recherche et export</t>
  </si>
  <si>
    <t xml:space="preserve">ADM-09</t>
  </si>
  <si>
    <t xml:space="preserve">Rapports et exports</t>
  </si>
  <si>
    <t xml:space="preserve">Ventes par catégorie, vendeur, gouvernorat, période ; export Excel / CSV.</t>
  </si>
  <si>
    <t xml:space="preserve">• Export Excel fonctionnel sur 100 000 lignes</t>
  </si>
  <si>
    <t xml:space="preserve">FIN-01</t>
  </si>
  <si>
    <t xml:space="preserve">Gestion de la TVA par produit</t>
  </si>
  <si>
    <t xml:space="preserve">Taux 19 %, 13 %, 7 %, exonéré, affecté par catégorie / produit.</t>
  </si>
  <si>
    <t xml:space="preserve">• Taux modifiable dans le back-office
• TVA détaillée par taux sur la facture</t>
  </si>
  <si>
    <t xml:space="preserve">FIN-02</t>
  </si>
  <si>
    <t xml:space="preserve">Génération des factures clients</t>
  </si>
  <si>
    <t xml:space="preserve">Factures PDF conformes : mentions légales, matricule fiscal, TVA par taux, timbre fiscal ; au nom du vendeur (3P) ou de Tunexa (1P).</t>
  </si>
  <si>
    <t xml:space="preserve">• Numérotation séquentielle sans trou
• Validation par l'expert-comptable du client</t>
  </si>
  <si>
    <t xml:space="preserve">FIN-03</t>
  </si>
  <si>
    <t xml:space="preserve">Avoirs</t>
  </si>
  <si>
    <t xml:space="preserve">Avoir généré à chaque remboursement.</t>
  </si>
  <si>
    <t xml:space="preserve">• Avoir lié à la facture d'origine</t>
  </si>
  <si>
    <t xml:space="preserve">Calcul des commissions et factures de commission</t>
  </si>
  <si>
    <t xml:space="preserve">Commission calculée par ligne de commande ; facture mensuelle Tunexa → vendeur.</t>
  </si>
  <si>
    <t xml:space="preserve">• Calcul vérifié sur un jeu de test
• Facture mensuelle automatique</t>
  </si>
  <si>
    <t xml:space="preserve">FIN-05</t>
  </si>
  <si>
    <t xml:space="preserve">Export comptable</t>
  </si>
  <si>
    <t xml:space="preserve">Export des écritures vers le logiciel comptable.</t>
  </si>
  <si>
    <t xml:space="preserve">• Format validé par le comptable</t>
  </si>
  <si>
    <t xml:space="preserve">FIN-06</t>
  </si>
  <si>
    <t xml:space="preserve">Facturation électronique (TTN)</t>
  </si>
  <si>
    <t xml:space="preserve">Adaptation au format et à la signature électronique exigés par l'administration fiscale.</t>
  </si>
  <si>
    <t xml:space="preserve">• Factures acceptées par la plateforme officielle</t>
  </si>
  <si>
    <t xml:space="preserve">SEC-01</t>
  </si>
  <si>
    <t xml:space="preserve">Durcissement de la sécurité applicative</t>
  </si>
  <si>
    <t xml:space="preserve">HTTPS / HSTS, en-têtes de sécurité, protection OWASP Top 10, limitation des tentatives, captcha.</t>
  </si>
  <si>
    <t xml:space="preserve">• Scan de vulnérabilités sans faille critique
• Rate limiting sur la connexion et l'OTP</t>
  </si>
  <si>
    <t xml:space="preserve">SEC-02</t>
  </si>
  <si>
    <t xml:space="preserve">Plan de sauvegarde et de reprise</t>
  </si>
  <si>
    <t xml:space="preserve">Sauvegardes chiffrées, restauration testée, procédure documentée.</t>
  </si>
  <si>
    <t xml:space="preserve">• Restauration testée avec succès
• RPO ≤ 24 h, RTO ≤ 4 h</t>
  </si>
  <si>
    <t xml:space="preserve">SEC-03</t>
  </si>
  <si>
    <t xml:space="preserve">Documents légaux</t>
  </si>
  <si>
    <t xml:space="preserve">CGU, CGV client, CGV vendeur, politique de confidentialité, mentions légales (rédaction juridique par le client).</t>
  </si>
  <si>
    <t xml:space="preserve">• Pages publiées dans les 3 langues
• Acceptation enregistrée à l'inscription</t>
  </si>
  <si>
    <t xml:space="preserve">SEC-04</t>
  </si>
  <si>
    <t xml:space="preserve">Déclaration INPDP</t>
  </si>
  <si>
    <t xml:space="preserve">Déclaration des traitements de données personnelles auprès de l'INPDP (à la charge du client, support technique fourni).</t>
  </si>
  <si>
    <t xml:space="preserve">• Récépissé obtenu avant le lancement</t>
  </si>
  <si>
    <t xml:space="preserve">SEC-05</t>
  </si>
  <si>
    <t xml:space="preserve">Score anti-fraude des commandes COD</t>
  </si>
  <si>
    <t xml:space="preserve">Score de risque (historique de refus, téléphone, adresse), liste noire, plafonds.</t>
  </si>
  <si>
    <t xml:space="preserve">• Commandes à risque mises en revue manuelle
• Liste noire gérable</t>
  </si>
  <si>
    <t xml:space="preserve">SEC-06</t>
  </si>
  <si>
    <t xml:space="preserve">Détection des abus</t>
  </si>
  <si>
    <t xml:space="preserve">Comptes multiples, abus de codes promo, faux avis.</t>
  </si>
  <si>
    <t xml:space="preserve">• Alertes dans le back-office</t>
  </si>
  <si>
    <t xml:space="preserve">SEC-07</t>
  </si>
  <si>
    <t xml:space="preserve">Programme de protection des marques</t>
  </si>
  <si>
    <t xml:space="preserve">Signalement de contrefaçon par les titulaires de marque.</t>
  </si>
  <si>
    <t xml:space="preserve">• Retrait du produit sous 48 h après validation</t>
  </si>
  <si>
    <t xml:space="preserve">SEC-08</t>
  </si>
  <si>
    <t xml:space="preserve">Test d'intrusion externe</t>
  </si>
  <si>
    <t xml:space="preserve">Pentest réalisé par un prestataire avant le lancement.</t>
  </si>
  <si>
    <t xml:space="preserve">• Toutes les failles critiques / hautes corrigées</t>
  </si>
  <si>
    <t xml:space="preserve">MOB-01</t>
  </si>
  <si>
    <t xml:space="preserve">Site responsive et PWA</t>
  </si>
  <si>
    <t xml:space="preserve">Site mobile-first installable (PWA), mode léger.</t>
  </si>
  <si>
    <t xml:space="preserve">• Installable sur Android
• Score Lighthouse performance mobile ≥ 80</t>
  </si>
  <si>
    <t xml:space="preserve">MOB-02</t>
  </si>
  <si>
    <t xml:space="preserve">Application Android</t>
  </si>
  <si>
    <t xml:space="preserve">Application native / cross-platform avec toutes les fonctions client.</t>
  </si>
  <si>
    <t xml:space="preserve">• Publiée sur Google Play
• Parité fonctionnelle avec le web</t>
  </si>
  <si>
    <t xml:space="preserve">MOB-03</t>
  </si>
  <si>
    <t xml:space="preserve">Application iOS</t>
  </si>
  <si>
    <t xml:space="preserve">Même périmètre que l'application Android.</t>
  </si>
  <si>
    <t xml:space="preserve">• Publiée sur l'App Store</t>
  </si>
  <si>
    <t xml:space="preserve">MOB-04</t>
  </si>
  <si>
    <t xml:space="preserve">Notifications push et liens profonds</t>
  </si>
  <si>
    <t xml:space="preserve">Push mobiles et ouverture directe d'une fiche produit / commande.</t>
  </si>
  <si>
    <t xml:space="preserve">• Lien ouvre le bon écran</t>
  </si>
  <si>
    <t xml:space="preserve">MOB-05</t>
  </si>
  <si>
    <t xml:space="preserve">Scanner de code-barres</t>
  </si>
  <si>
    <t xml:space="preserve">Recherche d'un produit en scannant son code-barres.</t>
  </si>
  <si>
    <t xml:space="preserve">• Reconnaissance EAN-13</t>
  </si>
  <si>
    <t xml:space="preserve">MOB-06</t>
  </si>
  <si>
    <t xml:space="preserve">Application vendeur mobile</t>
  </si>
  <si>
    <t xml:space="preserve">Gestion des commandes et stocks en mobilité.</t>
  </si>
  <si>
    <t xml:space="preserve">• Notifications de nouvelles commandes</t>
  </si>
  <si>
    <t xml:space="preserve">FUL-01</t>
  </si>
  <si>
    <t xml:space="preserve">Envoi de stock par le vendeur</t>
  </si>
  <si>
    <t xml:space="preserve">Le vendeur crée un bon d'envoi vers l'entrepôt Tunexa.</t>
  </si>
  <si>
    <t xml:space="preserve">• Étiquettes de colis générées
• Statut du bon suivi</t>
  </si>
  <si>
    <t xml:space="preserve">FUL-02</t>
  </si>
  <si>
    <t xml:space="preserve">WMS : réception et stockage</t>
  </si>
  <si>
    <t xml:space="preserve">Contrôle à la réception, étiquetage code-barres, emplacements.</t>
  </si>
  <si>
    <t xml:space="preserve">• Écarts quantités signalés au vendeur</t>
  </si>
  <si>
    <t xml:space="preserve">FUL-03</t>
  </si>
  <si>
    <t xml:space="preserve">WMS : préparation et expédition</t>
  </si>
  <si>
    <t xml:space="preserve">Listes de préparation, scan, emballage, remise au transporteur.</t>
  </si>
  <si>
    <t xml:space="preserve">• Erreur de préparation bloquée par scan</t>
  </si>
  <si>
    <t xml:space="preserve">FUL-04</t>
  </si>
  <si>
    <t xml:space="preserve">WMS : inventaire</t>
  </si>
  <si>
    <t xml:space="preserve">Inventaires tournants et ajustements.</t>
  </si>
  <si>
    <t xml:space="preserve">• Écarts tracés et justifiés</t>
  </si>
  <si>
    <t xml:space="preserve">FUL-05</t>
  </si>
  <si>
    <t xml:space="preserve">Facturation des frais de fulfillment</t>
  </si>
  <si>
    <t xml:space="preserve">Frais de stockage (m³ / mois) et de traitement par unité déduits des virements.</t>
  </si>
  <si>
    <t xml:space="preserve">• Détail des frais dans le relevé vendeur</t>
  </si>
  <si>
    <t xml:space="preserve">FUL-06</t>
  </si>
  <si>
    <t xml:space="preserve">Badge « Expédié par Tunexa »</t>
  </si>
  <si>
    <t xml:space="preserve">Badge et éligibilité livraison rapide / Tunexa Plus.</t>
  </si>
  <si>
    <t xml:space="preserve">• Badge affiché sur fiche et résultats</t>
  </si>
  <si>
    <t xml:space="preserve">FUL-07</t>
  </si>
  <si>
    <t xml:space="preserve">Multi-entrepôts</t>
  </si>
  <si>
    <t xml:space="preserve">Gestion de plusieurs entrepôts et choix de l'entrepôt le plus proche.</t>
  </si>
  <si>
    <t xml:space="preserve">• Affectation automatique par gouvernorat</t>
  </si>
  <si>
    <t xml:space="preserve">PLUS-01</t>
  </si>
  <si>
    <t xml:space="preserve">Souscription Tunexa Plus</t>
  </si>
  <si>
    <t xml:space="preserve">Abonnement mensuel / annuel, essai gratuit, renouvellement automatique, résiliation.</t>
  </si>
  <si>
    <t xml:space="preserve">• Résiliation en 2 clics
• Rappel avant renouvellement</t>
  </si>
  <si>
    <t xml:space="preserve">PLUS-02</t>
  </si>
  <si>
    <t xml:space="preserve">Avantages Tunexa Plus</t>
  </si>
  <si>
    <t xml:space="preserve">Livraison gratuite et prioritaire, accès anticipé aux ventes flash.</t>
  </si>
  <si>
    <t xml:space="preserve">• Avantages appliqués automatiquement au panier</t>
  </si>
  <si>
    <t xml:space="preserve">QA-01</t>
  </si>
  <si>
    <t xml:space="preserve">Tests automatisés</t>
  </si>
  <si>
    <t xml:space="preserve">Tests unitaires, d'intégration et de bout en bout sur les parcours critiques.</t>
  </si>
  <si>
    <t xml:space="preserve">• Couverture ≥ 70 % sur le back-end
• Parcours achat testé E2E</t>
  </si>
  <si>
    <t xml:space="preserve">QA-02</t>
  </si>
  <si>
    <t xml:space="preserve">Tests de charge</t>
  </si>
  <si>
    <t xml:space="preserve">Simulation des pics (x10) type Black Friday / Ramadan.</t>
  </si>
  <si>
    <t xml:space="preserve">• Temps de réponse API p95 &lt; 500 ms sous charge cible</t>
  </si>
  <si>
    <t xml:space="preserve">QA-03</t>
  </si>
  <si>
    <t xml:space="preserve">Recette client (UAT)</t>
  </si>
  <si>
    <t xml:space="preserve">Recette fonctionnelle par le client sur l'environnement staging.</t>
  </si>
  <si>
    <t xml:space="preserve">• Procès-verbal de recette signé</t>
  </si>
  <si>
    <t xml:space="preserve">QA-04</t>
  </si>
  <si>
    <t xml:space="preserve">Reprise de données et onboarding des premiers vendeurs</t>
  </si>
  <si>
    <t xml:space="preserve">Import des catalogues des vendeurs pilotes, formation.</t>
  </si>
  <si>
    <t xml:space="preserve">• Au moins 20 vendeurs actifs au lancement</t>
  </si>
  <si>
    <t xml:space="preserve">QA-05</t>
  </si>
  <si>
    <t xml:space="preserve">Mise en production</t>
  </si>
  <si>
    <t xml:space="preserve">Bascule en production, surveillance renforcée, plan de retour arrière.</t>
  </si>
  <si>
    <t xml:space="preserve">• Checklist de mise en production complétée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</si>
</sst>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-#,##0;\-"/>
    <numFmt numFmtId="167" formatCode="0%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E1F2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65911"/>
      </font>
    </dxf>
    <dxf>
      <font>
        <name val="Arial"/>
        <charset val="1"/>
        <family val="0"/>
        <b val="1"/>
        <color rgb="FF5482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4" t="s">
        <v>5</v>
      </c>
      <c r="B6" s="2"/>
    </row>
    <row r="7" customFormat="false" ht="15" hidden="false" customHeight="false" outlineLevel="0" collapsed="false">
      <c r="A7" s="3" t="s">
        <v>6</v>
      </c>
      <c r="B7" s="2" t="s">
        <v>7</v>
      </c>
    </row>
    <row r="8" customFormat="false" ht="15" hidden="false" customHeight="false" outlineLevel="0" collapsed="false">
      <c r="A8" s="3" t="s">
        <v>8</v>
      </c>
      <c r="B8" s="2" t="s">
        <v>9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4" t="s">
        <v>10</v>
      </c>
      <c r="B10" s="2"/>
    </row>
    <row r="11" customFormat="false" ht="15" hidden="false" customHeight="false" outlineLevel="0" collapsed="false">
      <c r="A11" s="5" t="s">
        <v>11</v>
      </c>
      <c r="B11" s="2" t="s">
        <v>12</v>
      </c>
    </row>
    <row r="12" customFormat="false" ht="15" hidden="false" customHeight="false" outlineLevel="0" collapsed="false">
      <c r="A12" s="3" t="s">
        <v>13</v>
      </c>
      <c r="B12" s="2" t="s">
        <v>14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4" t="s">
        <v>15</v>
      </c>
      <c r="B14" s="2"/>
    </row>
    <row r="15" customFormat="false" ht="15" hidden="false" customHeight="false" outlineLevel="0" collapsed="false">
      <c r="A15" s="3" t="s">
        <v>16</v>
      </c>
      <c r="B15" s="2" t="s">
        <v>17</v>
      </c>
    </row>
    <row r="16" customFormat="false" ht="15" hidden="false" customHeight="false" outlineLevel="0" collapsed="false">
      <c r="A16" s="3" t="s">
        <v>18</v>
      </c>
      <c r="B16" s="2" t="s">
        <v>19</v>
      </c>
    </row>
    <row r="17" customFormat="false" ht="15" hidden="false" customHeight="false" outlineLevel="0" collapsed="false">
      <c r="A17" s="3" t="s">
        <v>20</v>
      </c>
      <c r="B17" s="2" t="s">
        <v>21</v>
      </c>
    </row>
    <row r="18" customFormat="false" ht="15" hidden="false" customHeight="false" outlineLevel="0" collapsed="false">
      <c r="A18" s="3" t="s">
        <v>22</v>
      </c>
      <c r="B18" s="2" t="s">
        <v>23</v>
      </c>
    </row>
    <row r="19" customFormat="false" ht="15" hidden="false" customHeight="false" outlineLevel="0" collapsed="false">
      <c r="A19" s="3" t="s">
        <v>24</v>
      </c>
      <c r="B19" s="2" t="s">
        <v>25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4" t="s">
        <v>26</v>
      </c>
      <c r="B21" s="2"/>
    </row>
    <row r="22" customFormat="false" ht="15" hidden="false" customHeight="false" outlineLevel="0" collapsed="false">
      <c r="A22" s="3" t="s">
        <v>27</v>
      </c>
      <c r="B22" s="2" t="s">
        <v>28</v>
      </c>
    </row>
    <row r="23" customFormat="false" ht="15" hidden="false" customHeight="false" outlineLevel="0" collapsed="false">
      <c r="A23" s="3" t="s">
        <v>29</v>
      </c>
      <c r="B23" s="2" t="s">
        <v>30</v>
      </c>
    </row>
    <row r="24" customFormat="false" ht="15" hidden="false" customHeight="false" outlineLevel="0" collapsed="false">
      <c r="A24" s="3" t="s">
        <v>31</v>
      </c>
      <c r="B24" s="2" t="s">
        <v>32</v>
      </c>
    </row>
    <row r="25" customFormat="false" ht="15" hidden="false" customHeight="false" outlineLevel="0" collapsed="false">
      <c r="A25" s="2"/>
      <c r="B25" s="2"/>
    </row>
    <row r="26" customFormat="false" ht="23.85" hidden="false" customHeight="false" outlineLevel="0" collapsed="false">
      <c r="A26" s="3" t="s">
        <v>33</v>
      </c>
      <c r="B26" s="2" t="s">
        <v>34</v>
      </c>
    </row>
    <row r="27" customFormat="false" ht="23.85" hidden="false" customHeight="false" outlineLevel="0" collapsed="false">
      <c r="A27" s="3" t="s">
        <v>35</v>
      </c>
      <c r="B27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6" t="s">
        <v>37</v>
      </c>
    </row>
    <row r="2" customFormat="false" ht="15" hidden="false" customHeight="false" outlineLevel="0" collapsed="false">
      <c r="A2" s="7" t="s">
        <v>38</v>
      </c>
    </row>
    <row r="4" customFormat="false" ht="15" hidden="false" customHeight="false" outlineLevel="0" collapsed="false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20</v>
      </c>
      <c r="I4" s="8" t="s">
        <v>46</v>
      </c>
      <c r="J4" s="8" t="s">
        <v>47</v>
      </c>
    </row>
    <row r="5" customFormat="false" ht="15" hidden="false" customHeight="false" outlineLevel="0" collapsed="false">
      <c r="A5" s="9" t="s">
        <v>48</v>
      </c>
      <c r="B5" s="10" t="n">
        <f aca="false">COUNTIF(Tickets!$B$2:$B$159,$A5)</f>
        <v>7</v>
      </c>
      <c r="C5" s="11" t="n">
        <f aca="false">SUMIF(Tickets!$B$2:$B$159,$A5,Tickets!$I$2:$I$159)</f>
        <v>34</v>
      </c>
      <c r="D5" s="11" t="n">
        <f aca="false">SUMIFS(Tickets!$I$2:$I$159,Tickets!$B$2:$B$159,$A5,Tickets!$G$2:$G$159,"P0")</f>
        <v>34</v>
      </c>
      <c r="E5" s="11" t="n">
        <f aca="false">SUMIFS(Tickets!$I$2:$I$159,Tickets!$B$2:$B$159,$A5,Tickets!$G$2:$G$159,"P1")</f>
        <v>0</v>
      </c>
      <c r="F5" s="11" t="n">
        <f aca="false">SUMIFS(Tickets!$I$2:$I$159,Tickets!$B$2:$B$159,$A5,Tickets!$G$2:$G$159,"P2")</f>
        <v>0</v>
      </c>
      <c r="G5" s="10" t="n">
        <f aca="false">COUNTIFS(Tickets!$B$2:$B$159,$A5,Tickets!$K$2:$K$159,"Validé")</f>
        <v>0</v>
      </c>
      <c r="H5" s="10" t="n">
        <f aca="false">COUNTIFS(Tickets!$B$2:$B$159,$A5,Tickets!$K$2:$K$159,"À modifier")</f>
        <v>0</v>
      </c>
      <c r="I5" s="10" t="n">
        <f aca="false">COUNTIFS(Tickets!$B$2:$B$159,$A5,Tickets!$K$2:$K$159,"Refusé")</f>
        <v>0</v>
      </c>
      <c r="J5" s="12" t="n">
        <f aca="false">IF(B5=0,0,G5/B5)</f>
        <v>0</v>
      </c>
    </row>
    <row r="6" customFormat="false" ht="15" hidden="false" customHeight="false" outlineLevel="0" collapsed="false">
      <c r="A6" s="9" t="s">
        <v>49</v>
      </c>
      <c r="B6" s="10" t="n">
        <f aca="false">COUNTIF(Tickets!$B$2:$B$159,$A6)</f>
        <v>11</v>
      </c>
      <c r="C6" s="11" t="n">
        <f aca="false">SUMIF(Tickets!$B$2:$B$159,$A6,Tickets!$I$2:$I$159)</f>
        <v>32</v>
      </c>
      <c r="D6" s="11" t="n">
        <f aca="false">SUMIFS(Tickets!$I$2:$I$159,Tickets!$B$2:$B$159,$A6,Tickets!$G$2:$G$159,"P0")</f>
        <v>24</v>
      </c>
      <c r="E6" s="11" t="n">
        <f aca="false">SUMIFS(Tickets!$I$2:$I$159,Tickets!$B$2:$B$159,$A6,Tickets!$G$2:$G$159,"P1")</f>
        <v>8</v>
      </c>
      <c r="F6" s="11" t="n">
        <f aca="false">SUMIFS(Tickets!$I$2:$I$159,Tickets!$B$2:$B$159,$A6,Tickets!$G$2:$G$159,"P2")</f>
        <v>0</v>
      </c>
      <c r="G6" s="10" t="n">
        <f aca="false">COUNTIFS(Tickets!$B$2:$B$159,$A6,Tickets!$K$2:$K$159,"Validé")</f>
        <v>0</v>
      </c>
      <c r="H6" s="10" t="n">
        <f aca="false">COUNTIFS(Tickets!$B$2:$B$159,$A6,Tickets!$K$2:$K$159,"À modifier")</f>
        <v>0</v>
      </c>
      <c r="I6" s="10" t="n">
        <f aca="false">COUNTIFS(Tickets!$B$2:$B$159,$A6,Tickets!$K$2:$K$159,"Refusé")</f>
        <v>0</v>
      </c>
      <c r="J6" s="12" t="n">
        <f aca="false">IF(B6=0,0,G6/B6)</f>
        <v>0</v>
      </c>
    </row>
    <row r="7" customFormat="false" ht="15" hidden="false" customHeight="false" outlineLevel="0" collapsed="false">
      <c r="A7" s="9" t="s">
        <v>50</v>
      </c>
      <c r="B7" s="10" t="n">
        <f aca="false">COUNTIF(Tickets!$B$2:$B$159,$A7)</f>
        <v>13</v>
      </c>
      <c r="C7" s="11" t="n">
        <f aca="false">SUMIF(Tickets!$B$2:$B$159,$A7,Tickets!$I$2:$I$159)</f>
        <v>57</v>
      </c>
      <c r="D7" s="11" t="n">
        <f aca="false">SUMIFS(Tickets!$I$2:$I$159,Tickets!$B$2:$B$159,$A7,Tickets!$G$2:$G$159,"P0")</f>
        <v>38</v>
      </c>
      <c r="E7" s="11" t="n">
        <f aca="false">SUMIFS(Tickets!$I$2:$I$159,Tickets!$B$2:$B$159,$A7,Tickets!$G$2:$G$159,"P1")</f>
        <v>9</v>
      </c>
      <c r="F7" s="11" t="n">
        <f aca="false">SUMIFS(Tickets!$I$2:$I$159,Tickets!$B$2:$B$159,$A7,Tickets!$G$2:$G$159,"P2")</f>
        <v>10</v>
      </c>
      <c r="G7" s="10" t="n">
        <f aca="false">COUNTIFS(Tickets!$B$2:$B$159,$A7,Tickets!$K$2:$K$159,"Validé")</f>
        <v>0</v>
      </c>
      <c r="H7" s="10" t="n">
        <f aca="false">COUNTIFS(Tickets!$B$2:$B$159,$A7,Tickets!$K$2:$K$159,"À modifier")</f>
        <v>0</v>
      </c>
      <c r="I7" s="10" t="n">
        <f aca="false">COUNTIFS(Tickets!$B$2:$B$159,$A7,Tickets!$K$2:$K$159,"Refusé")</f>
        <v>0</v>
      </c>
      <c r="J7" s="12" t="n">
        <f aca="false">IF(B7=0,0,G7/B7)</f>
        <v>0</v>
      </c>
    </row>
    <row r="8" customFormat="false" ht="15" hidden="false" customHeight="false" outlineLevel="0" collapsed="false">
      <c r="A8" s="9" t="s">
        <v>51</v>
      </c>
      <c r="B8" s="10" t="n">
        <f aca="false">COUNTIF(Tickets!$B$2:$B$159,$A8)</f>
        <v>7</v>
      </c>
      <c r="C8" s="11" t="n">
        <f aca="false">SUMIF(Tickets!$B$2:$B$159,$A8,Tickets!$I$2:$I$159)</f>
        <v>21</v>
      </c>
      <c r="D8" s="11" t="n">
        <f aca="false">SUMIFS(Tickets!$I$2:$I$159,Tickets!$B$2:$B$159,$A8,Tickets!$G$2:$G$159,"P0")</f>
        <v>19</v>
      </c>
      <c r="E8" s="11" t="n">
        <f aca="false">SUMIFS(Tickets!$I$2:$I$159,Tickets!$B$2:$B$159,$A8,Tickets!$G$2:$G$159,"P1")</f>
        <v>2</v>
      </c>
      <c r="F8" s="11" t="n">
        <f aca="false">SUMIFS(Tickets!$I$2:$I$159,Tickets!$B$2:$B$159,$A8,Tickets!$G$2:$G$159,"P2")</f>
        <v>0</v>
      </c>
      <c r="G8" s="10" t="n">
        <f aca="false">COUNTIFS(Tickets!$B$2:$B$159,$A8,Tickets!$K$2:$K$159,"Validé")</f>
        <v>0</v>
      </c>
      <c r="H8" s="10" t="n">
        <f aca="false">COUNTIFS(Tickets!$B$2:$B$159,$A8,Tickets!$K$2:$K$159,"À modifier")</f>
        <v>0</v>
      </c>
      <c r="I8" s="10" t="n">
        <f aca="false">COUNTIFS(Tickets!$B$2:$B$159,$A8,Tickets!$K$2:$K$159,"Refusé")</f>
        <v>0</v>
      </c>
      <c r="J8" s="12" t="n">
        <f aca="false">IF(B8=0,0,G8/B8)</f>
        <v>0</v>
      </c>
    </row>
    <row r="9" customFormat="false" ht="15" hidden="false" customHeight="false" outlineLevel="0" collapsed="false">
      <c r="A9" s="9" t="s">
        <v>52</v>
      </c>
      <c r="B9" s="10" t="n">
        <f aca="false">COUNTIF(Tickets!$B$2:$B$159,$A9)</f>
        <v>8</v>
      </c>
      <c r="C9" s="11" t="n">
        <f aca="false">SUMIF(Tickets!$B$2:$B$159,$A9,Tickets!$I$2:$I$159)</f>
        <v>22</v>
      </c>
      <c r="D9" s="11" t="n">
        <f aca="false">SUMIFS(Tickets!$I$2:$I$159,Tickets!$B$2:$B$159,$A9,Tickets!$G$2:$G$159,"P0")</f>
        <v>20</v>
      </c>
      <c r="E9" s="11" t="n">
        <f aca="false">SUMIFS(Tickets!$I$2:$I$159,Tickets!$B$2:$B$159,$A9,Tickets!$G$2:$G$159,"P1")</f>
        <v>2</v>
      </c>
      <c r="F9" s="11" t="n">
        <f aca="false">SUMIFS(Tickets!$I$2:$I$159,Tickets!$B$2:$B$159,$A9,Tickets!$G$2:$G$159,"P2")</f>
        <v>0</v>
      </c>
      <c r="G9" s="10" t="n">
        <f aca="false">COUNTIFS(Tickets!$B$2:$B$159,$A9,Tickets!$K$2:$K$159,"Validé")</f>
        <v>0</v>
      </c>
      <c r="H9" s="10" t="n">
        <f aca="false">COUNTIFS(Tickets!$B$2:$B$159,$A9,Tickets!$K$2:$K$159,"À modifier")</f>
        <v>0</v>
      </c>
      <c r="I9" s="10" t="n">
        <f aca="false">COUNTIFS(Tickets!$B$2:$B$159,$A9,Tickets!$K$2:$K$159,"Refusé")</f>
        <v>0</v>
      </c>
      <c r="J9" s="12" t="n">
        <f aca="false">IF(B9=0,0,G9/B9)</f>
        <v>0</v>
      </c>
    </row>
    <row r="10" customFormat="false" ht="15" hidden="false" customHeight="false" outlineLevel="0" collapsed="false">
      <c r="A10" s="9" t="s">
        <v>53</v>
      </c>
      <c r="B10" s="10" t="n">
        <f aca="false">COUNTIF(Tickets!$B$2:$B$159,$A10)</f>
        <v>10</v>
      </c>
      <c r="C10" s="11" t="n">
        <f aca="false">SUMIF(Tickets!$B$2:$B$159,$A10,Tickets!$I$2:$I$159)</f>
        <v>44</v>
      </c>
      <c r="D10" s="11" t="n">
        <f aca="false">SUMIFS(Tickets!$I$2:$I$159,Tickets!$B$2:$B$159,$A10,Tickets!$G$2:$G$159,"P0")</f>
        <v>15</v>
      </c>
      <c r="E10" s="11" t="n">
        <f aca="false">SUMIFS(Tickets!$I$2:$I$159,Tickets!$B$2:$B$159,$A10,Tickets!$G$2:$G$159,"P1")</f>
        <v>16</v>
      </c>
      <c r="F10" s="11" t="n">
        <f aca="false">SUMIFS(Tickets!$I$2:$I$159,Tickets!$B$2:$B$159,$A10,Tickets!$G$2:$G$159,"P2")</f>
        <v>13</v>
      </c>
      <c r="G10" s="10" t="n">
        <f aca="false">COUNTIFS(Tickets!$B$2:$B$159,$A10,Tickets!$K$2:$K$159,"Validé")</f>
        <v>0</v>
      </c>
      <c r="H10" s="10" t="n">
        <f aca="false">COUNTIFS(Tickets!$B$2:$B$159,$A10,Tickets!$K$2:$K$159,"À modifier")</f>
        <v>0</v>
      </c>
      <c r="I10" s="10" t="n">
        <f aca="false">COUNTIFS(Tickets!$B$2:$B$159,$A10,Tickets!$K$2:$K$159,"Refusé")</f>
        <v>0</v>
      </c>
      <c r="J10" s="12" t="n">
        <f aca="false">IF(B10=0,0,G10/B10)</f>
        <v>0</v>
      </c>
    </row>
    <row r="11" customFormat="false" ht="15" hidden="false" customHeight="false" outlineLevel="0" collapsed="false">
      <c r="A11" s="9" t="s">
        <v>54</v>
      </c>
      <c r="B11" s="10" t="n">
        <f aca="false">COUNTIF(Tickets!$B$2:$B$159,$A11)</f>
        <v>10</v>
      </c>
      <c r="C11" s="11" t="n">
        <f aca="false">SUMIF(Tickets!$B$2:$B$159,$A11,Tickets!$I$2:$I$159)</f>
        <v>56</v>
      </c>
      <c r="D11" s="11" t="n">
        <f aca="false">SUMIFS(Tickets!$I$2:$I$159,Tickets!$B$2:$B$159,$A11,Tickets!$G$2:$G$159,"P0")</f>
        <v>24</v>
      </c>
      <c r="E11" s="11" t="n">
        <f aca="false">SUMIFS(Tickets!$I$2:$I$159,Tickets!$B$2:$B$159,$A11,Tickets!$G$2:$G$159,"P1")</f>
        <v>12</v>
      </c>
      <c r="F11" s="11" t="n">
        <f aca="false">SUMIFS(Tickets!$I$2:$I$159,Tickets!$B$2:$B$159,$A11,Tickets!$G$2:$G$159,"P2")</f>
        <v>20</v>
      </c>
      <c r="G11" s="10" t="n">
        <f aca="false">COUNTIFS(Tickets!$B$2:$B$159,$A11,Tickets!$K$2:$K$159,"Validé")</f>
        <v>0</v>
      </c>
      <c r="H11" s="10" t="n">
        <f aca="false">COUNTIFS(Tickets!$B$2:$B$159,$A11,Tickets!$K$2:$K$159,"À modifier")</f>
        <v>0</v>
      </c>
      <c r="I11" s="10" t="n">
        <f aca="false">COUNTIFS(Tickets!$B$2:$B$159,$A11,Tickets!$K$2:$K$159,"Refusé")</f>
        <v>0</v>
      </c>
      <c r="J11" s="12" t="n">
        <f aca="false">IF(B11=0,0,G11/B11)</f>
        <v>0</v>
      </c>
    </row>
    <row r="12" customFormat="false" ht="15" hidden="false" customHeight="false" outlineLevel="0" collapsed="false">
      <c r="A12" s="9" t="s">
        <v>55</v>
      </c>
      <c r="B12" s="10" t="n">
        <f aca="false">COUNTIF(Tickets!$B$2:$B$159,$A12)</f>
        <v>7</v>
      </c>
      <c r="C12" s="11" t="n">
        <f aca="false">SUMIF(Tickets!$B$2:$B$159,$A12,Tickets!$I$2:$I$159)</f>
        <v>23</v>
      </c>
      <c r="D12" s="11" t="n">
        <f aca="false">SUMIFS(Tickets!$I$2:$I$159,Tickets!$B$2:$B$159,$A12,Tickets!$G$2:$G$159,"P0")</f>
        <v>19</v>
      </c>
      <c r="E12" s="11" t="n">
        <f aca="false">SUMIFS(Tickets!$I$2:$I$159,Tickets!$B$2:$B$159,$A12,Tickets!$G$2:$G$159,"P1")</f>
        <v>4</v>
      </c>
      <c r="F12" s="11" t="n">
        <f aca="false">SUMIFS(Tickets!$I$2:$I$159,Tickets!$B$2:$B$159,$A12,Tickets!$G$2:$G$159,"P2")</f>
        <v>0</v>
      </c>
      <c r="G12" s="10" t="n">
        <f aca="false">COUNTIFS(Tickets!$B$2:$B$159,$A12,Tickets!$K$2:$K$159,"Validé")</f>
        <v>0</v>
      </c>
      <c r="H12" s="10" t="n">
        <f aca="false">COUNTIFS(Tickets!$B$2:$B$159,$A12,Tickets!$K$2:$K$159,"À modifier")</f>
        <v>0</v>
      </c>
      <c r="I12" s="10" t="n">
        <f aca="false">COUNTIFS(Tickets!$B$2:$B$159,$A12,Tickets!$K$2:$K$159,"Refusé")</f>
        <v>0</v>
      </c>
      <c r="J12" s="12" t="n">
        <f aca="false">IF(B12=0,0,G12/B12)</f>
        <v>0</v>
      </c>
    </row>
    <row r="13" customFormat="false" ht="15" hidden="false" customHeight="false" outlineLevel="0" collapsed="false">
      <c r="A13" s="9" t="s">
        <v>56</v>
      </c>
      <c r="B13" s="10" t="n">
        <f aca="false">COUNTIF(Tickets!$B$2:$B$159,$A13)</f>
        <v>14</v>
      </c>
      <c r="C13" s="11" t="n">
        <f aca="false">SUMIF(Tickets!$B$2:$B$159,$A13,Tickets!$I$2:$I$159)</f>
        <v>65</v>
      </c>
      <c r="D13" s="11" t="n">
        <f aca="false">SUMIFS(Tickets!$I$2:$I$159,Tickets!$B$2:$B$159,$A13,Tickets!$G$2:$G$159,"P0")</f>
        <v>36</v>
      </c>
      <c r="E13" s="11" t="n">
        <f aca="false">SUMIFS(Tickets!$I$2:$I$159,Tickets!$B$2:$B$159,$A13,Tickets!$G$2:$G$159,"P1")</f>
        <v>29</v>
      </c>
      <c r="F13" s="11" t="n">
        <f aca="false">SUMIFS(Tickets!$I$2:$I$159,Tickets!$B$2:$B$159,$A13,Tickets!$G$2:$G$159,"P2")</f>
        <v>0</v>
      </c>
      <c r="G13" s="10" t="n">
        <f aca="false">COUNTIFS(Tickets!$B$2:$B$159,$A13,Tickets!$K$2:$K$159,"Validé")</f>
        <v>0</v>
      </c>
      <c r="H13" s="10" t="n">
        <f aca="false">COUNTIFS(Tickets!$B$2:$B$159,$A13,Tickets!$K$2:$K$159,"À modifier")</f>
        <v>0</v>
      </c>
      <c r="I13" s="10" t="n">
        <f aca="false">COUNTIFS(Tickets!$B$2:$B$159,$A13,Tickets!$K$2:$K$159,"Refusé")</f>
        <v>0</v>
      </c>
      <c r="J13" s="12" t="n">
        <f aca="false">IF(B13=0,0,G13/B13)</f>
        <v>0</v>
      </c>
    </row>
    <row r="14" customFormat="false" ht="15" hidden="false" customHeight="false" outlineLevel="0" collapsed="false">
      <c r="A14" s="9" t="s">
        <v>57</v>
      </c>
      <c r="B14" s="10" t="n">
        <f aca="false">COUNTIF(Tickets!$B$2:$B$159,$A14)</f>
        <v>6</v>
      </c>
      <c r="C14" s="11" t="n">
        <f aca="false">SUMIF(Tickets!$B$2:$B$159,$A14,Tickets!$I$2:$I$159)</f>
        <v>15</v>
      </c>
      <c r="D14" s="11" t="n">
        <f aca="false">SUMIFS(Tickets!$I$2:$I$159,Tickets!$B$2:$B$159,$A14,Tickets!$G$2:$G$159,"P0")</f>
        <v>6</v>
      </c>
      <c r="E14" s="11" t="n">
        <f aca="false">SUMIFS(Tickets!$I$2:$I$159,Tickets!$B$2:$B$159,$A14,Tickets!$G$2:$G$159,"P1")</f>
        <v>9</v>
      </c>
      <c r="F14" s="11" t="n">
        <f aca="false">SUMIFS(Tickets!$I$2:$I$159,Tickets!$B$2:$B$159,$A14,Tickets!$G$2:$G$159,"P2")</f>
        <v>0</v>
      </c>
      <c r="G14" s="10" t="n">
        <f aca="false">COUNTIFS(Tickets!$B$2:$B$159,$A14,Tickets!$K$2:$K$159,"Validé")</f>
        <v>0</v>
      </c>
      <c r="H14" s="10" t="n">
        <f aca="false">COUNTIFS(Tickets!$B$2:$B$159,$A14,Tickets!$K$2:$K$159,"À modifier")</f>
        <v>0</v>
      </c>
      <c r="I14" s="10" t="n">
        <f aca="false">COUNTIFS(Tickets!$B$2:$B$159,$A14,Tickets!$K$2:$K$159,"Refusé")</f>
        <v>0</v>
      </c>
      <c r="J14" s="12" t="n">
        <f aca="false">IF(B14=0,0,G14/B14)</f>
        <v>0</v>
      </c>
    </row>
    <row r="15" customFormat="false" ht="15" hidden="false" customHeight="false" outlineLevel="0" collapsed="false">
      <c r="A15" s="9" t="s">
        <v>58</v>
      </c>
      <c r="B15" s="10" t="n">
        <f aca="false">COUNTIF(Tickets!$B$2:$B$159,$A15)</f>
        <v>12</v>
      </c>
      <c r="C15" s="11" t="n">
        <f aca="false">SUMIF(Tickets!$B$2:$B$159,$A15,Tickets!$I$2:$I$159)</f>
        <v>47</v>
      </c>
      <c r="D15" s="11" t="n">
        <f aca="false">SUMIFS(Tickets!$I$2:$I$159,Tickets!$B$2:$B$159,$A15,Tickets!$G$2:$G$159,"P0")</f>
        <v>6</v>
      </c>
      <c r="E15" s="11" t="n">
        <f aca="false">SUMIFS(Tickets!$I$2:$I$159,Tickets!$B$2:$B$159,$A15,Tickets!$G$2:$G$159,"P1")</f>
        <v>27</v>
      </c>
      <c r="F15" s="11" t="n">
        <f aca="false">SUMIFS(Tickets!$I$2:$I$159,Tickets!$B$2:$B$159,$A15,Tickets!$G$2:$G$159,"P2")</f>
        <v>14</v>
      </c>
      <c r="G15" s="10" t="n">
        <f aca="false">COUNTIFS(Tickets!$B$2:$B$159,$A15,Tickets!$K$2:$K$159,"Validé")</f>
        <v>0</v>
      </c>
      <c r="H15" s="10" t="n">
        <f aca="false">COUNTIFS(Tickets!$B$2:$B$159,$A15,Tickets!$K$2:$K$159,"À modifier")</f>
        <v>0</v>
      </c>
      <c r="I15" s="10" t="n">
        <f aca="false">COUNTIFS(Tickets!$B$2:$B$159,$A15,Tickets!$K$2:$K$159,"Refusé")</f>
        <v>0</v>
      </c>
      <c r="J15" s="12" t="n">
        <f aca="false">IF(B15=0,0,G15/B15)</f>
        <v>0</v>
      </c>
    </row>
    <row r="16" customFormat="false" ht="15" hidden="false" customHeight="false" outlineLevel="0" collapsed="false">
      <c r="A16" s="9" t="s">
        <v>59</v>
      </c>
      <c r="B16" s="10" t="n">
        <f aca="false">COUNTIF(Tickets!$B$2:$B$159,$A16)</f>
        <v>5</v>
      </c>
      <c r="C16" s="11" t="n">
        <f aca="false">SUMIF(Tickets!$B$2:$B$159,$A16,Tickets!$I$2:$I$159)</f>
        <v>16</v>
      </c>
      <c r="D16" s="11" t="n">
        <f aca="false">SUMIFS(Tickets!$I$2:$I$159,Tickets!$B$2:$B$159,$A16,Tickets!$G$2:$G$159,"P0")</f>
        <v>10</v>
      </c>
      <c r="E16" s="11" t="n">
        <f aca="false">SUMIFS(Tickets!$I$2:$I$159,Tickets!$B$2:$B$159,$A16,Tickets!$G$2:$G$159,"P1")</f>
        <v>6</v>
      </c>
      <c r="F16" s="11" t="n">
        <f aca="false">SUMIFS(Tickets!$I$2:$I$159,Tickets!$B$2:$B$159,$A16,Tickets!$G$2:$G$159,"P2")</f>
        <v>0</v>
      </c>
      <c r="G16" s="10" t="n">
        <f aca="false">COUNTIFS(Tickets!$B$2:$B$159,$A16,Tickets!$K$2:$K$159,"Validé")</f>
        <v>0</v>
      </c>
      <c r="H16" s="10" t="n">
        <f aca="false">COUNTIFS(Tickets!$B$2:$B$159,$A16,Tickets!$K$2:$K$159,"À modifier")</f>
        <v>0</v>
      </c>
      <c r="I16" s="10" t="n">
        <f aca="false">COUNTIFS(Tickets!$B$2:$B$159,$A16,Tickets!$K$2:$K$159,"Refusé")</f>
        <v>0</v>
      </c>
      <c r="J16" s="12" t="n">
        <f aca="false">IF(B16=0,0,G16/B16)</f>
        <v>0</v>
      </c>
    </row>
    <row r="17" customFormat="false" ht="15" hidden="false" customHeight="false" outlineLevel="0" collapsed="false">
      <c r="A17" s="9" t="s">
        <v>60</v>
      </c>
      <c r="B17" s="10" t="n">
        <f aca="false">COUNTIF(Tickets!$B$2:$B$159,$A17)</f>
        <v>5</v>
      </c>
      <c r="C17" s="11" t="n">
        <f aca="false">SUMIF(Tickets!$B$2:$B$159,$A17,Tickets!$I$2:$I$159)</f>
        <v>24</v>
      </c>
      <c r="D17" s="11" t="n">
        <f aca="false">SUMIFS(Tickets!$I$2:$I$159,Tickets!$B$2:$B$159,$A17,Tickets!$G$2:$G$159,"P0")</f>
        <v>9</v>
      </c>
      <c r="E17" s="11" t="n">
        <f aca="false">SUMIFS(Tickets!$I$2:$I$159,Tickets!$B$2:$B$159,$A17,Tickets!$G$2:$G$159,"P1")</f>
        <v>15</v>
      </c>
      <c r="F17" s="11" t="n">
        <f aca="false">SUMIFS(Tickets!$I$2:$I$159,Tickets!$B$2:$B$159,$A17,Tickets!$G$2:$G$159,"P2")</f>
        <v>0</v>
      </c>
      <c r="G17" s="10" t="n">
        <f aca="false">COUNTIFS(Tickets!$B$2:$B$159,$A17,Tickets!$K$2:$K$159,"Validé")</f>
        <v>0</v>
      </c>
      <c r="H17" s="10" t="n">
        <f aca="false">COUNTIFS(Tickets!$B$2:$B$159,$A17,Tickets!$K$2:$K$159,"À modifier")</f>
        <v>0</v>
      </c>
      <c r="I17" s="10" t="n">
        <f aca="false">COUNTIFS(Tickets!$B$2:$B$159,$A17,Tickets!$K$2:$K$159,"Refusé")</f>
        <v>0</v>
      </c>
      <c r="J17" s="12" t="n">
        <f aca="false">IF(B17=0,0,G17/B17)</f>
        <v>0</v>
      </c>
    </row>
    <row r="18" customFormat="false" ht="15" hidden="false" customHeight="false" outlineLevel="0" collapsed="false">
      <c r="A18" s="9" t="s">
        <v>61</v>
      </c>
      <c r="B18" s="10" t="n">
        <f aca="false">COUNTIF(Tickets!$B$2:$B$159,$A18)</f>
        <v>9</v>
      </c>
      <c r="C18" s="11" t="n">
        <f aca="false">SUMIF(Tickets!$B$2:$B$159,$A18,Tickets!$I$2:$I$159)</f>
        <v>33</v>
      </c>
      <c r="D18" s="11" t="n">
        <f aca="false">SUMIFS(Tickets!$I$2:$I$159,Tickets!$B$2:$B$159,$A18,Tickets!$G$2:$G$159,"P0")</f>
        <v>28</v>
      </c>
      <c r="E18" s="11" t="n">
        <f aca="false">SUMIFS(Tickets!$I$2:$I$159,Tickets!$B$2:$B$159,$A18,Tickets!$G$2:$G$159,"P1")</f>
        <v>5</v>
      </c>
      <c r="F18" s="11" t="n">
        <f aca="false">SUMIFS(Tickets!$I$2:$I$159,Tickets!$B$2:$B$159,$A18,Tickets!$G$2:$G$159,"P2")</f>
        <v>0</v>
      </c>
      <c r="G18" s="10" t="n">
        <f aca="false">COUNTIFS(Tickets!$B$2:$B$159,$A18,Tickets!$K$2:$K$159,"Validé")</f>
        <v>0</v>
      </c>
      <c r="H18" s="10" t="n">
        <f aca="false">COUNTIFS(Tickets!$B$2:$B$159,$A18,Tickets!$K$2:$K$159,"À modifier")</f>
        <v>0</v>
      </c>
      <c r="I18" s="10" t="n">
        <f aca="false">COUNTIFS(Tickets!$B$2:$B$159,$A18,Tickets!$K$2:$K$159,"Refusé")</f>
        <v>0</v>
      </c>
      <c r="J18" s="12" t="n">
        <f aca="false">IF(B18=0,0,G18/B18)</f>
        <v>0</v>
      </c>
    </row>
    <row r="19" customFormat="false" ht="15" hidden="false" customHeight="false" outlineLevel="0" collapsed="false">
      <c r="A19" s="9" t="s">
        <v>62</v>
      </c>
      <c r="B19" s="10" t="n">
        <f aca="false">COUNTIF(Tickets!$B$2:$B$159,$A19)</f>
        <v>6</v>
      </c>
      <c r="C19" s="11" t="n">
        <f aca="false">SUMIF(Tickets!$B$2:$B$159,$A19,Tickets!$I$2:$I$159)</f>
        <v>25</v>
      </c>
      <c r="D19" s="11" t="n">
        <f aca="false">SUMIFS(Tickets!$I$2:$I$159,Tickets!$B$2:$B$159,$A19,Tickets!$G$2:$G$159,"P0")</f>
        <v>13</v>
      </c>
      <c r="E19" s="11" t="n">
        <f aca="false">SUMIFS(Tickets!$I$2:$I$159,Tickets!$B$2:$B$159,$A19,Tickets!$G$2:$G$159,"P1")</f>
        <v>12</v>
      </c>
      <c r="F19" s="11" t="n">
        <f aca="false">SUMIFS(Tickets!$I$2:$I$159,Tickets!$B$2:$B$159,$A19,Tickets!$G$2:$G$159,"P2")</f>
        <v>0</v>
      </c>
      <c r="G19" s="10" t="n">
        <f aca="false">COUNTIFS(Tickets!$B$2:$B$159,$A19,Tickets!$K$2:$K$159,"Validé")</f>
        <v>0</v>
      </c>
      <c r="H19" s="10" t="n">
        <f aca="false">COUNTIFS(Tickets!$B$2:$B$159,$A19,Tickets!$K$2:$K$159,"À modifier")</f>
        <v>0</v>
      </c>
      <c r="I19" s="10" t="n">
        <f aca="false">COUNTIFS(Tickets!$B$2:$B$159,$A19,Tickets!$K$2:$K$159,"Refusé")</f>
        <v>0</v>
      </c>
      <c r="J19" s="12" t="n">
        <f aca="false">IF(B19=0,0,G19/B19)</f>
        <v>0</v>
      </c>
    </row>
    <row r="20" customFormat="false" ht="15" hidden="false" customHeight="false" outlineLevel="0" collapsed="false">
      <c r="A20" s="9" t="s">
        <v>63</v>
      </c>
      <c r="B20" s="10" t="n">
        <f aca="false">COUNTIF(Tickets!$B$2:$B$159,$A20)</f>
        <v>8</v>
      </c>
      <c r="C20" s="11" t="n">
        <f aca="false">SUMIF(Tickets!$B$2:$B$159,$A20,Tickets!$I$2:$I$159)</f>
        <v>26</v>
      </c>
      <c r="D20" s="11" t="n">
        <f aca="false">SUMIFS(Tickets!$I$2:$I$159,Tickets!$B$2:$B$159,$A20,Tickets!$G$2:$G$159,"P0")</f>
        <v>14</v>
      </c>
      <c r="E20" s="11" t="n">
        <f aca="false">SUMIFS(Tickets!$I$2:$I$159,Tickets!$B$2:$B$159,$A20,Tickets!$G$2:$G$159,"P1")</f>
        <v>12</v>
      </c>
      <c r="F20" s="11" t="n">
        <f aca="false">SUMIFS(Tickets!$I$2:$I$159,Tickets!$B$2:$B$159,$A20,Tickets!$G$2:$G$159,"P2")</f>
        <v>0</v>
      </c>
      <c r="G20" s="10" t="n">
        <f aca="false">COUNTIFS(Tickets!$B$2:$B$159,$A20,Tickets!$K$2:$K$159,"Validé")</f>
        <v>0</v>
      </c>
      <c r="H20" s="10" t="n">
        <f aca="false">COUNTIFS(Tickets!$B$2:$B$159,$A20,Tickets!$K$2:$K$159,"À modifier")</f>
        <v>0</v>
      </c>
      <c r="I20" s="10" t="n">
        <f aca="false">COUNTIFS(Tickets!$B$2:$B$159,$A20,Tickets!$K$2:$K$159,"Refusé")</f>
        <v>0</v>
      </c>
      <c r="J20" s="12" t="n">
        <f aca="false">IF(B20=0,0,G20/B20)</f>
        <v>0</v>
      </c>
    </row>
    <row r="21" customFormat="false" ht="15" hidden="false" customHeight="false" outlineLevel="0" collapsed="false">
      <c r="A21" s="9" t="s">
        <v>64</v>
      </c>
      <c r="B21" s="10" t="n">
        <f aca="false">COUNTIF(Tickets!$B$2:$B$159,$A21)</f>
        <v>6</v>
      </c>
      <c r="C21" s="11" t="n">
        <f aca="false">SUMIF(Tickets!$B$2:$B$159,$A21,Tickets!$I$2:$I$159)</f>
        <v>65</v>
      </c>
      <c r="D21" s="11" t="n">
        <f aca="false">SUMIFS(Tickets!$I$2:$I$159,Tickets!$B$2:$B$159,$A21,Tickets!$G$2:$G$159,"P0")</f>
        <v>4</v>
      </c>
      <c r="E21" s="11" t="n">
        <f aca="false">SUMIFS(Tickets!$I$2:$I$159,Tickets!$B$2:$B$159,$A21,Tickets!$G$2:$G$159,"P1")</f>
        <v>43</v>
      </c>
      <c r="F21" s="11" t="n">
        <f aca="false">SUMIFS(Tickets!$I$2:$I$159,Tickets!$B$2:$B$159,$A21,Tickets!$G$2:$G$159,"P2")</f>
        <v>18</v>
      </c>
      <c r="G21" s="10" t="n">
        <f aca="false">COUNTIFS(Tickets!$B$2:$B$159,$A21,Tickets!$K$2:$K$159,"Validé")</f>
        <v>0</v>
      </c>
      <c r="H21" s="10" t="n">
        <f aca="false">COUNTIFS(Tickets!$B$2:$B$159,$A21,Tickets!$K$2:$K$159,"À modifier")</f>
        <v>0</v>
      </c>
      <c r="I21" s="10" t="n">
        <f aca="false">COUNTIFS(Tickets!$B$2:$B$159,$A21,Tickets!$K$2:$K$159,"Refusé")</f>
        <v>0</v>
      </c>
      <c r="J21" s="12" t="n">
        <f aca="false">IF(B21=0,0,G21/B21)</f>
        <v>0</v>
      </c>
    </row>
    <row r="22" customFormat="false" ht="15" hidden="false" customHeight="false" outlineLevel="0" collapsed="false">
      <c r="A22" s="9" t="s">
        <v>65</v>
      </c>
      <c r="B22" s="10" t="n">
        <f aca="false">COUNTIF(Tickets!$B$2:$B$159,$A22)</f>
        <v>7</v>
      </c>
      <c r="C22" s="11" t="n">
        <f aca="false">SUMIF(Tickets!$B$2:$B$159,$A22,Tickets!$I$2:$I$159)</f>
        <v>36</v>
      </c>
      <c r="D22" s="11" t="n">
        <f aca="false">SUMIFS(Tickets!$I$2:$I$159,Tickets!$B$2:$B$159,$A22,Tickets!$G$2:$G$159,"P0")</f>
        <v>0</v>
      </c>
      <c r="E22" s="11" t="n">
        <f aca="false">SUMIFS(Tickets!$I$2:$I$159,Tickets!$B$2:$B$159,$A22,Tickets!$G$2:$G$159,"P1")</f>
        <v>28</v>
      </c>
      <c r="F22" s="11" t="n">
        <f aca="false">SUMIFS(Tickets!$I$2:$I$159,Tickets!$B$2:$B$159,$A22,Tickets!$G$2:$G$159,"P2")</f>
        <v>8</v>
      </c>
      <c r="G22" s="10" t="n">
        <f aca="false">COUNTIFS(Tickets!$B$2:$B$159,$A22,Tickets!$K$2:$K$159,"Validé")</f>
        <v>0</v>
      </c>
      <c r="H22" s="10" t="n">
        <f aca="false">COUNTIFS(Tickets!$B$2:$B$159,$A22,Tickets!$K$2:$K$159,"À modifier")</f>
        <v>0</v>
      </c>
      <c r="I22" s="10" t="n">
        <f aca="false">COUNTIFS(Tickets!$B$2:$B$159,$A22,Tickets!$K$2:$K$159,"Refusé")</f>
        <v>0</v>
      </c>
      <c r="J22" s="12" t="n">
        <f aca="false">IF(B22=0,0,G22/B22)</f>
        <v>0</v>
      </c>
    </row>
    <row r="23" customFormat="false" ht="15" hidden="false" customHeight="false" outlineLevel="0" collapsed="false">
      <c r="A23" s="9" t="s">
        <v>66</v>
      </c>
      <c r="B23" s="10" t="n">
        <f aca="false">COUNTIF(Tickets!$B$2:$B$159,$A23)</f>
        <v>2</v>
      </c>
      <c r="C23" s="11" t="n">
        <f aca="false">SUMIF(Tickets!$B$2:$B$159,$A23,Tickets!$I$2:$I$159)</f>
        <v>10</v>
      </c>
      <c r="D23" s="11" t="n">
        <f aca="false">SUMIFS(Tickets!$I$2:$I$159,Tickets!$B$2:$B$159,$A23,Tickets!$G$2:$G$159,"P0")</f>
        <v>0</v>
      </c>
      <c r="E23" s="11" t="n">
        <f aca="false">SUMIFS(Tickets!$I$2:$I$159,Tickets!$B$2:$B$159,$A23,Tickets!$G$2:$G$159,"P1")</f>
        <v>0</v>
      </c>
      <c r="F23" s="11" t="n">
        <f aca="false">SUMIFS(Tickets!$I$2:$I$159,Tickets!$B$2:$B$159,$A23,Tickets!$G$2:$G$159,"P2")</f>
        <v>10</v>
      </c>
      <c r="G23" s="10" t="n">
        <f aca="false">COUNTIFS(Tickets!$B$2:$B$159,$A23,Tickets!$K$2:$K$159,"Validé")</f>
        <v>0</v>
      </c>
      <c r="H23" s="10" t="n">
        <f aca="false">COUNTIFS(Tickets!$B$2:$B$159,$A23,Tickets!$K$2:$K$159,"À modifier")</f>
        <v>0</v>
      </c>
      <c r="I23" s="10" t="n">
        <f aca="false">COUNTIFS(Tickets!$B$2:$B$159,$A23,Tickets!$K$2:$K$159,"Refusé")</f>
        <v>0</v>
      </c>
      <c r="J23" s="12" t="n">
        <f aca="false">IF(B23=0,0,G23/B23)</f>
        <v>0</v>
      </c>
    </row>
    <row r="24" customFormat="false" ht="15" hidden="false" customHeight="false" outlineLevel="0" collapsed="false">
      <c r="A24" s="9" t="s">
        <v>67</v>
      </c>
      <c r="B24" s="10" t="n">
        <f aca="false">COUNTIF(Tickets!$B$2:$B$159,$A24)</f>
        <v>5</v>
      </c>
      <c r="C24" s="11" t="n">
        <f aca="false">SUMIF(Tickets!$B$2:$B$159,$A24,Tickets!$I$2:$I$159)</f>
        <v>28</v>
      </c>
      <c r="D24" s="11" t="n">
        <f aca="false">SUMIFS(Tickets!$I$2:$I$159,Tickets!$B$2:$B$159,$A24,Tickets!$G$2:$G$159,"P0")</f>
        <v>28</v>
      </c>
      <c r="E24" s="11" t="n">
        <f aca="false">SUMIFS(Tickets!$I$2:$I$159,Tickets!$B$2:$B$159,$A24,Tickets!$G$2:$G$159,"P1")</f>
        <v>0</v>
      </c>
      <c r="F24" s="11" t="n">
        <f aca="false">SUMIFS(Tickets!$I$2:$I$159,Tickets!$B$2:$B$159,$A24,Tickets!$G$2:$G$159,"P2")</f>
        <v>0</v>
      </c>
      <c r="G24" s="10" t="n">
        <f aca="false">COUNTIFS(Tickets!$B$2:$B$159,$A24,Tickets!$K$2:$K$159,"Validé")</f>
        <v>0</v>
      </c>
      <c r="H24" s="10" t="n">
        <f aca="false">COUNTIFS(Tickets!$B$2:$B$159,$A24,Tickets!$K$2:$K$159,"À modifier")</f>
        <v>0</v>
      </c>
      <c r="I24" s="10" t="n">
        <f aca="false">COUNTIFS(Tickets!$B$2:$B$159,$A24,Tickets!$K$2:$K$159,"Refusé")</f>
        <v>0</v>
      </c>
      <c r="J24" s="12" t="n">
        <f aca="false">IF(B24=0,0,G24/B24)</f>
        <v>0</v>
      </c>
    </row>
    <row r="25" customFormat="false" ht="15" hidden="false" customHeight="false" outlineLevel="0" collapsed="false">
      <c r="A25" s="13" t="s">
        <v>68</v>
      </c>
      <c r="B25" s="14" t="n">
        <f aca="false">SUM(B5:B24)</f>
        <v>158</v>
      </c>
      <c r="C25" s="15" t="n">
        <f aca="false">SUM(C5:C24)</f>
        <v>679</v>
      </c>
      <c r="D25" s="15" t="n">
        <f aca="false">SUM(D5:D24)</f>
        <v>347</v>
      </c>
      <c r="E25" s="15" t="n">
        <f aca="false">SUM(E5:E24)</f>
        <v>239</v>
      </c>
      <c r="F25" s="15" t="n">
        <f aca="false">SUM(F5:F24)</f>
        <v>93</v>
      </c>
      <c r="G25" s="14" t="n">
        <f aca="false">SUM(G5:G24)</f>
        <v>0</v>
      </c>
      <c r="H25" s="14" t="n">
        <f aca="false">SUM(H5:H24)</f>
        <v>0</v>
      </c>
      <c r="I25" s="14" t="n">
        <f aca="false">SUM(I5:I24)</f>
        <v>0</v>
      </c>
      <c r="J25" s="16" t="n">
        <f aca="false">IF(B25=0,0,G25/B25)</f>
        <v>0</v>
      </c>
    </row>
    <row r="28" customFormat="false" ht="23.85" hidden="false" customHeight="false" outlineLevel="0" collapsed="false">
      <c r="A28" s="8" t="s">
        <v>69</v>
      </c>
      <c r="B28" s="8" t="s">
        <v>40</v>
      </c>
      <c r="C28" s="8" t="s">
        <v>41</v>
      </c>
      <c r="D28" s="8" t="s">
        <v>70</v>
      </c>
    </row>
    <row r="29" customFormat="false" ht="15" hidden="false" customHeight="false" outlineLevel="0" collapsed="false">
      <c r="A29" s="9" t="s">
        <v>71</v>
      </c>
      <c r="B29" s="10" t="n">
        <f aca="false">COUNTIF(Tickets!$H$2:$H$159,$A29)</f>
        <v>94</v>
      </c>
      <c r="C29" s="10" t="n">
        <f aca="false">SUMIF(Tickets!$H$2:$H$159,$A29,Tickets!$I$2:$I$159)</f>
        <v>347</v>
      </c>
      <c r="D29" s="17" t="n">
        <f aca="false">C29/$B$34</f>
        <v>17.35</v>
      </c>
    </row>
    <row r="30" customFormat="false" ht="15" hidden="false" customHeight="false" outlineLevel="0" collapsed="false">
      <c r="A30" s="9" t="s">
        <v>72</v>
      </c>
      <c r="B30" s="10" t="n">
        <f aca="false">COUNTIF(Tickets!$H$2:$H$159,$A30)</f>
        <v>53</v>
      </c>
      <c r="C30" s="10" t="n">
        <f aca="false">SUMIF(Tickets!$H$2:$H$159,$A30,Tickets!$I$2:$I$159)</f>
        <v>239</v>
      </c>
      <c r="D30" s="17" t="n">
        <f aca="false">C30/$B$34</f>
        <v>11.95</v>
      </c>
    </row>
    <row r="31" customFormat="false" ht="15" hidden="false" customHeight="false" outlineLevel="0" collapsed="false">
      <c r="A31" s="9" t="s">
        <v>73</v>
      </c>
      <c r="B31" s="10" t="n">
        <f aca="false">COUNTIF(Tickets!$H$2:$H$159,$A31)</f>
        <v>11</v>
      </c>
      <c r="C31" s="10" t="n">
        <f aca="false">SUMIF(Tickets!$H$2:$H$159,$A31,Tickets!$I$2:$I$159)</f>
        <v>93</v>
      </c>
      <c r="D31" s="17" t="n">
        <f aca="false">C31/$B$34</f>
        <v>4.65</v>
      </c>
    </row>
    <row r="32" customFormat="false" ht="15" hidden="false" customHeight="false" outlineLevel="0" collapsed="false">
      <c r="A32" s="18" t="s">
        <v>68</v>
      </c>
      <c r="B32" s="19" t="n">
        <f aca="false">SUM(B29:B31)</f>
        <v>158</v>
      </c>
      <c r="C32" s="19" t="n">
        <f aca="false">SUM(C29:C31)</f>
        <v>679</v>
      </c>
      <c r="D32" s="20" t="n">
        <f aca="false">C32/$B$34</f>
        <v>33.95</v>
      </c>
    </row>
    <row r="34" customFormat="false" ht="15" hidden="false" customHeight="false" outlineLevel="0" collapsed="false">
      <c r="A34" s="21" t="s">
        <v>74</v>
      </c>
      <c r="B34" s="22" t="n">
        <v>20</v>
      </c>
      <c r="C34" s="7" t="s">
        <v>75</v>
      </c>
    </row>
    <row r="37" customFormat="false" ht="15" hidden="false" customHeight="false" outlineLevel="0" collapsed="false">
      <c r="A37" s="8" t="s">
        <v>76</v>
      </c>
      <c r="B37" s="8" t="s">
        <v>40</v>
      </c>
      <c r="C37" s="8" t="s">
        <v>77</v>
      </c>
    </row>
    <row r="38" customFormat="false" ht="15" hidden="false" customHeight="false" outlineLevel="0" collapsed="false">
      <c r="A38" s="9" t="s">
        <v>16</v>
      </c>
      <c r="B38" s="10" t="n">
        <f aca="false">COUNTIF(Tickets!$K$2:$K$159,$A38)</f>
        <v>158</v>
      </c>
      <c r="C38" s="12" t="n">
        <f aca="false">IF($B$25=0,0,B38/$B$25)</f>
        <v>1</v>
      </c>
    </row>
    <row r="39" customFormat="false" ht="15" hidden="false" customHeight="false" outlineLevel="0" collapsed="false">
      <c r="A39" s="9" t="s">
        <v>18</v>
      </c>
      <c r="B39" s="10" t="n">
        <f aca="false">COUNTIF(Tickets!$K$2:$K$159,$A39)</f>
        <v>0</v>
      </c>
      <c r="C39" s="12" t="n">
        <f aca="false">IF($B$25=0,0,B39/$B$25)</f>
        <v>0</v>
      </c>
    </row>
    <row r="40" customFormat="false" ht="15" hidden="false" customHeight="false" outlineLevel="0" collapsed="false">
      <c r="A40" s="9" t="s">
        <v>20</v>
      </c>
      <c r="B40" s="10" t="n">
        <f aca="false">COUNTIF(Tickets!$K$2:$K$159,$A40)</f>
        <v>0</v>
      </c>
      <c r="C40" s="12" t="n">
        <f aca="false">IF($B$25=0,0,B40/$B$25)</f>
        <v>0</v>
      </c>
    </row>
    <row r="41" customFormat="false" ht="15" hidden="false" customHeight="false" outlineLevel="0" collapsed="false">
      <c r="A41" s="9" t="s">
        <v>22</v>
      </c>
      <c r="B41" s="10" t="n">
        <f aca="false">COUNTIF(Tickets!$K$2:$K$159,$A41)</f>
        <v>0</v>
      </c>
      <c r="C41" s="12" t="n">
        <f aca="false">IF($B$25=0,0,B41/$B$25)</f>
        <v>0</v>
      </c>
    </row>
    <row r="42" customFormat="false" ht="15" hidden="false" customHeight="false" outlineLevel="0" collapsed="false">
      <c r="A42" s="9" t="s">
        <v>24</v>
      </c>
      <c r="B42" s="10" t="n">
        <f aca="false">COUNTIF(Tickets!$K$2:$K$159,$A42)</f>
        <v>0</v>
      </c>
      <c r="C42" s="12" t="n">
        <f aca="false">IF($B$25=0,0,B42/$B$25)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5" min="4" style="0" width="55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8" t="s">
        <v>78</v>
      </c>
      <c r="B1" s="8" t="s">
        <v>39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69</v>
      </c>
      <c r="I1" s="8" t="s">
        <v>84</v>
      </c>
      <c r="J1" s="8" t="s">
        <v>85</v>
      </c>
      <c r="K1" s="8" t="s">
        <v>76</v>
      </c>
      <c r="L1" s="8" t="s">
        <v>86</v>
      </c>
    </row>
    <row r="2" customFormat="false" ht="35.05" hidden="false" customHeight="false" outlineLevel="0" collapsed="false">
      <c r="A2" s="23" t="s">
        <v>87</v>
      </c>
      <c r="B2" s="24" t="s">
        <v>48</v>
      </c>
      <c r="C2" s="24" t="s">
        <v>88</v>
      </c>
      <c r="D2" s="24" t="s">
        <v>89</v>
      </c>
      <c r="E2" s="24" t="s">
        <v>90</v>
      </c>
      <c r="F2" s="25" t="s">
        <v>91</v>
      </c>
      <c r="G2" s="25" t="s">
        <v>92</v>
      </c>
      <c r="H2" s="24" t="s">
        <v>71</v>
      </c>
      <c r="I2" s="25" t="n">
        <v>3</v>
      </c>
      <c r="J2" s="25" t="s">
        <v>93</v>
      </c>
      <c r="K2" s="26" t="s">
        <v>16</v>
      </c>
      <c r="L2" s="27"/>
    </row>
    <row r="3" customFormat="false" ht="35.05" hidden="false" customHeight="false" outlineLevel="0" collapsed="false">
      <c r="A3" s="23" t="s">
        <v>94</v>
      </c>
      <c r="B3" s="24" t="s">
        <v>48</v>
      </c>
      <c r="C3" s="24" t="s">
        <v>95</v>
      </c>
      <c r="D3" s="24" t="s">
        <v>96</v>
      </c>
      <c r="E3" s="24" t="s">
        <v>97</v>
      </c>
      <c r="F3" s="25" t="s">
        <v>91</v>
      </c>
      <c r="G3" s="25" t="s">
        <v>92</v>
      </c>
      <c r="H3" s="24" t="s">
        <v>71</v>
      </c>
      <c r="I3" s="25" t="n">
        <v>4</v>
      </c>
      <c r="J3" s="25" t="s">
        <v>87</v>
      </c>
      <c r="K3" s="26" t="s">
        <v>16</v>
      </c>
      <c r="L3" s="27"/>
    </row>
    <row r="4" customFormat="false" ht="35.05" hidden="false" customHeight="false" outlineLevel="0" collapsed="false">
      <c r="A4" s="23" t="s">
        <v>98</v>
      </c>
      <c r="B4" s="24" t="s">
        <v>48</v>
      </c>
      <c r="C4" s="24" t="s">
        <v>99</v>
      </c>
      <c r="D4" s="24" t="s">
        <v>100</v>
      </c>
      <c r="E4" s="24" t="s">
        <v>101</v>
      </c>
      <c r="F4" s="25" t="s">
        <v>91</v>
      </c>
      <c r="G4" s="25" t="s">
        <v>92</v>
      </c>
      <c r="H4" s="24" t="s">
        <v>71</v>
      </c>
      <c r="I4" s="25" t="n">
        <v>5</v>
      </c>
      <c r="J4" s="25" t="s">
        <v>87</v>
      </c>
      <c r="K4" s="26" t="s">
        <v>16</v>
      </c>
      <c r="L4" s="27"/>
    </row>
    <row r="5" customFormat="false" ht="35.05" hidden="false" customHeight="false" outlineLevel="0" collapsed="false">
      <c r="A5" s="23" t="s">
        <v>102</v>
      </c>
      <c r="B5" s="24" t="s">
        <v>48</v>
      </c>
      <c r="C5" s="24" t="s">
        <v>103</v>
      </c>
      <c r="D5" s="24" t="s">
        <v>104</v>
      </c>
      <c r="E5" s="24" t="s">
        <v>105</v>
      </c>
      <c r="F5" s="25" t="s">
        <v>91</v>
      </c>
      <c r="G5" s="25" t="s">
        <v>92</v>
      </c>
      <c r="H5" s="24" t="s">
        <v>71</v>
      </c>
      <c r="I5" s="25" t="n">
        <v>3</v>
      </c>
      <c r="J5" s="25" t="s">
        <v>98</v>
      </c>
      <c r="K5" s="26" t="s">
        <v>16</v>
      </c>
      <c r="L5" s="27"/>
    </row>
    <row r="6" customFormat="false" ht="35.05" hidden="false" customHeight="false" outlineLevel="0" collapsed="false">
      <c r="A6" s="23" t="s">
        <v>106</v>
      </c>
      <c r="B6" s="24" t="s">
        <v>48</v>
      </c>
      <c r="C6" s="24" t="s">
        <v>107</v>
      </c>
      <c r="D6" s="24" t="s">
        <v>108</v>
      </c>
      <c r="E6" s="24" t="s">
        <v>109</v>
      </c>
      <c r="F6" s="25" t="s">
        <v>91</v>
      </c>
      <c r="G6" s="25" t="s">
        <v>92</v>
      </c>
      <c r="H6" s="24" t="s">
        <v>71</v>
      </c>
      <c r="I6" s="25" t="n">
        <v>4</v>
      </c>
      <c r="J6" s="25" t="s">
        <v>87</v>
      </c>
      <c r="K6" s="26" t="s">
        <v>16</v>
      </c>
      <c r="L6" s="27"/>
    </row>
    <row r="7" customFormat="false" ht="35.05" hidden="false" customHeight="false" outlineLevel="0" collapsed="false">
      <c r="A7" s="23" t="s">
        <v>110</v>
      </c>
      <c r="B7" s="24" t="s">
        <v>48</v>
      </c>
      <c r="C7" s="24" t="s">
        <v>111</v>
      </c>
      <c r="D7" s="24" t="s">
        <v>112</v>
      </c>
      <c r="E7" s="24" t="s">
        <v>113</v>
      </c>
      <c r="F7" s="25" t="s">
        <v>91</v>
      </c>
      <c r="G7" s="25" t="s">
        <v>92</v>
      </c>
      <c r="H7" s="24" t="s">
        <v>71</v>
      </c>
      <c r="I7" s="25" t="n">
        <v>3</v>
      </c>
      <c r="J7" s="25" t="s">
        <v>98</v>
      </c>
      <c r="K7" s="26" t="s">
        <v>16</v>
      </c>
      <c r="L7" s="27"/>
    </row>
    <row r="8" customFormat="false" ht="35.05" hidden="false" customHeight="false" outlineLevel="0" collapsed="false">
      <c r="A8" s="23" t="s">
        <v>114</v>
      </c>
      <c r="B8" s="24" t="s">
        <v>48</v>
      </c>
      <c r="C8" s="24" t="s">
        <v>115</v>
      </c>
      <c r="D8" s="24" t="s">
        <v>116</v>
      </c>
      <c r="E8" s="24" t="s">
        <v>117</v>
      </c>
      <c r="F8" s="25" t="s">
        <v>118</v>
      </c>
      <c r="G8" s="25" t="s">
        <v>92</v>
      </c>
      <c r="H8" s="24" t="s">
        <v>71</v>
      </c>
      <c r="I8" s="25" t="n">
        <v>12</v>
      </c>
      <c r="J8" s="25" t="s">
        <v>93</v>
      </c>
      <c r="K8" s="26" t="s">
        <v>16</v>
      </c>
      <c r="L8" s="27"/>
    </row>
    <row r="9" customFormat="false" ht="35.05" hidden="false" customHeight="false" outlineLevel="0" collapsed="false">
      <c r="A9" s="23" t="s">
        <v>119</v>
      </c>
      <c r="B9" s="24" t="s">
        <v>49</v>
      </c>
      <c r="C9" s="24" t="s">
        <v>120</v>
      </c>
      <c r="D9" s="24" t="s">
        <v>121</v>
      </c>
      <c r="E9" s="24" t="s">
        <v>122</v>
      </c>
      <c r="F9" s="25" t="s">
        <v>123</v>
      </c>
      <c r="G9" s="25" t="s">
        <v>92</v>
      </c>
      <c r="H9" s="24" t="s">
        <v>71</v>
      </c>
      <c r="I9" s="25" t="n">
        <v>4</v>
      </c>
      <c r="J9" s="25" t="s">
        <v>124</v>
      </c>
      <c r="K9" s="26" t="s">
        <v>16</v>
      </c>
      <c r="L9" s="27"/>
    </row>
    <row r="10" customFormat="false" ht="35.05" hidden="false" customHeight="false" outlineLevel="0" collapsed="false">
      <c r="A10" s="23" t="s">
        <v>125</v>
      </c>
      <c r="B10" s="24" t="s">
        <v>49</v>
      </c>
      <c r="C10" s="24" t="s">
        <v>126</v>
      </c>
      <c r="D10" s="24" t="s">
        <v>127</v>
      </c>
      <c r="E10" s="24" t="s">
        <v>128</v>
      </c>
      <c r="F10" s="25" t="s">
        <v>123</v>
      </c>
      <c r="G10" s="25" t="s">
        <v>92</v>
      </c>
      <c r="H10" s="24" t="s">
        <v>71</v>
      </c>
      <c r="I10" s="25" t="n">
        <v>3</v>
      </c>
      <c r="J10" s="25" t="s">
        <v>93</v>
      </c>
      <c r="K10" s="26" t="s">
        <v>16</v>
      </c>
      <c r="L10" s="27"/>
    </row>
    <row r="11" customFormat="false" ht="23.85" hidden="false" customHeight="false" outlineLevel="0" collapsed="false">
      <c r="A11" s="23" t="s">
        <v>129</v>
      </c>
      <c r="B11" s="24" t="s">
        <v>49</v>
      </c>
      <c r="C11" s="24" t="s">
        <v>130</v>
      </c>
      <c r="D11" s="24" t="s">
        <v>131</v>
      </c>
      <c r="E11" s="24" t="s">
        <v>132</v>
      </c>
      <c r="F11" s="25" t="s">
        <v>123</v>
      </c>
      <c r="G11" s="25" t="s">
        <v>92</v>
      </c>
      <c r="H11" s="24" t="s">
        <v>71</v>
      </c>
      <c r="I11" s="25" t="n">
        <v>2</v>
      </c>
      <c r="J11" s="25" t="s">
        <v>125</v>
      </c>
      <c r="K11" s="26" t="s">
        <v>16</v>
      </c>
      <c r="L11" s="27"/>
    </row>
    <row r="12" customFormat="false" ht="23.85" hidden="false" customHeight="false" outlineLevel="0" collapsed="false">
      <c r="A12" s="23" t="s">
        <v>133</v>
      </c>
      <c r="B12" s="24" t="s">
        <v>49</v>
      </c>
      <c r="C12" s="24" t="s">
        <v>134</v>
      </c>
      <c r="D12" s="24" t="s">
        <v>135</v>
      </c>
      <c r="E12" s="24" t="s">
        <v>136</v>
      </c>
      <c r="F12" s="25" t="s">
        <v>123</v>
      </c>
      <c r="G12" s="25" t="s">
        <v>92</v>
      </c>
      <c r="H12" s="24" t="s">
        <v>71</v>
      </c>
      <c r="I12" s="25" t="n">
        <v>2</v>
      </c>
      <c r="J12" s="25" t="s">
        <v>119</v>
      </c>
      <c r="K12" s="26" t="s">
        <v>16</v>
      </c>
      <c r="L12" s="27"/>
    </row>
    <row r="13" customFormat="false" ht="35.05" hidden="false" customHeight="false" outlineLevel="0" collapsed="false">
      <c r="A13" s="23" t="s">
        <v>137</v>
      </c>
      <c r="B13" s="24" t="s">
        <v>49</v>
      </c>
      <c r="C13" s="24" t="s">
        <v>138</v>
      </c>
      <c r="D13" s="24" t="s">
        <v>139</v>
      </c>
      <c r="E13" s="24" t="s">
        <v>140</v>
      </c>
      <c r="F13" s="25" t="s">
        <v>123</v>
      </c>
      <c r="G13" s="25" t="s">
        <v>92</v>
      </c>
      <c r="H13" s="24" t="s">
        <v>71</v>
      </c>
      <c r="I13" s="25" t="n">
        <v>3</v>
      </c>
      <c r="J13" s="25" t="s">
        <v>110</v>
      </c>
      <c r="K13" s="26" t="s">
        <v>16</v>
      </c>
      <c r="L13" s="27"/>
    </row>
    <row r="14" customFormat="false" ht="23.85" hidden="false" customHeight="false" outlineLevel="0" collapsed="false">
      <c r="A14" s="23" t="s">
        <v>141</v>
      </c>
      <c r="B14" s="24" t="s">
        <v>49</v>
      </c>
      <c r="C14" s="24" t="s">
        <v>142</v>
      </c>
      <c r="D14" s="24" t="s">
        <v>143</v>
      </c>
      <c r="E14" s="24" t="s">
        <v>144</v>
      </c>
      <c r="F14" s="25" t="s">
        <v>123</v>
      </c>
      <c r="G14" s="25" t="s">
        <v>145</v>
      </c>
      <c r="H14" s="24" t="s">
        <v>72</v>
      </c>
      <c r="I14" s="25" t="n">
        <v>2</v>
      </c>
      <c r="J14" s="25" t="s">
        <v>133</v>
      </c>
      <c r="K14" s="26" t="s">
        <v>16</v>
      </c>
      <c r="L14" s="27"/>
    </row>
    <row r="15" customFormat="false" ht="35.05" hidden="false" customHeight="false" outlineLevel="0" collapsed="false">
      <c r="A15" s="23" t="s">
        <v>124</v>
      </c>
      <c r="B15" s="24" t="s">
        <v>49</v>
      </c>
      <c r="C15" s="24" t="s">
        <v>146</v>
      </c>
      <c r="D15" s="24" t="s">
        <v>147</v>
      </c>
      <c r="E15" s="24" t="s">
        <v>148</v>
      </c>
      <c r="F15" s="25" t="s">
        <v>149</v>
      </c>
      <c r="G15" s="25" t="s">
        <v>92</v>
      </c>
      <c r="H15" s="24" t="s">
        <v>71</v>
      </c>
      <c r="I15" s="25" t="n">
        <v>3</v>
      </c>
      <c r="J15" s="25" t="s">
        <v>98</v>
      </c>
      <c r="K15" s="26" t="s">
        <v>16</v>
      </c>
      <c r="L15" s="27"/>
    </row>
    <row r="16" customFormat="false" ht="23.85" hidden="false" customHeight="false" outlineLevel="0" collapsed="false">
      <c r="A16" s="23" t="s">
        <v>150</v>
      </c>
      <c r="B16" s="24" t="s">
        <v>49</v>
      </c>
      <c r="C16" s="24" t="s">
        <v>151</v>
      </c>
      <c r="D16" s="24" t="s">
        <v>152</v>
      </c>
      <c r="E16" s="24" t="s">
        <v>153</v>
      </c>
      <c r="F16" s="25" t="s">
        <v>123</v>
      </c>
      <c r="G16" s="25" t="s">
        <v>145</v>
      </c>
      <c r="H16" s="24" t="s">
        <v>72</v>
      </c>
      <c r="I16" s="25" t="n">
        <v>3</v>
      </c>
      <c r="J16" s="25" t="s">
        <v>125</v>
      </c>
      <c r="K16" s="26" t="s">
        <v>16</v>
      </c>
      <c r="L16" s="27"/>
    </row>
    <row r="17" customFormat="false" ht="23.85" hidden="false" customHeight="false" outlineLevel="0" collapsed="false">
      <c r="A17" s="23" t="s">
        <v>154</v>
      </c>
      <c r="B17" s="24" t="s">
        <v>49</v>
      </c>
      <c r="C17" s="24" t="s">
        <v>155</v>
      </c>
      <c r="D17" s="24" t="s">
        <v>156</v>
      </c>
      <c r="E17" s="24" t="s">
        <v>157</v>
      </c>
      <c r="F17" s="25" t="s">
        <v>123</v>
      </c>
      <c r="G17" s="25" t="s">
        <v>145</v>
      </c>
      <c r="H17" s="24" t="s">
        <v>72</v>
      </c>
      <c r="I17" s="25" t="n">
        <v>3</v>
      </c>
      <c r="J17" s="25" t="s">
        <v>124</v>
      </c>
      <c r="K17" s="26" t="s">
        <v>16</v>
      </c>
      <c r="L17" s="27"/>
    </row>
    <row r="18" customFormat="false" ht="35.05" hidden="false" customHeight="false" outlineLevel="0" collapsed="false">
      <c r="A18" s="23" t="s">
        <v>158</v>
      </c>
      <c r="B18" s="24" t="s">
        <v>49</v>
      </c>
      <c r="C18" s="24" t="s">
        <v>159</v>
      </c>
      <c r="D18" s="24" t="s">
        <v>160</v>
      </c>
      <c r="E18" s="24" t="s">
        <v>161</v>
      </c>
      <c r="F18" s="25" t="s">
        <v>123</v>
      </c>
      <c r="G18" s="25" t="s">
        <v>92</v>
      </c>
      <c r="H18" s="24" t="s">
        <v>71</v>
      </c>
      <c r="I18" s="25" t="n">
        <v>3</v>
      </c>
      <c r="J18" s="25" t="s">
        <v>133</v>
      </c>
      <c r="K18" s="26" t="s">
        <v>16</v>
      </c>
      <c r="L18" s="27"/>
    </row>
    <row r="19" customFormat="false" ht="23.85" hidden="false" customHeight="false" outlineLevel="0" collapsed="false">
      <c r="A19" s="23" t="s">
        <v>162</v>
      </c>
      <c r="B19" s="24" t="s">
        <v>49</v>
      </c>
      <c r="C19" s="24" t="s">
        <v>163</v>
      </c>
      <c r="D19" s="24" t="s">
        <v>164</v>
      </c>
      <c r="E19" s="24" t="s">
        <v>165</v>
      </c>
      <c r="F19" s="25" t="s">
        <v>91</v>
      </c>
      <c r="G19" s="25" t="s">
        <v>92</v>
      </c>
      <c r="H19" s="24" t="s">
        <v>71</v>
      </c>
      <c r="I19" s="25" t="n">
        <v>4</v>
      </c>
      <c r="J19" s="25" t="s">
        <v>125</v>
      </c>
      <c r="K19" s="26" t="s">
        <v>16</v>
      </c>
      <c r="L19" s="27"/>
    </row>
    <row r="20" customFormat="false" ht="35.05" hidden="false" customHeight="false" outlineLevel="0" collapsed="false">
      <c r="A20" s="23" t="s">
        <v>166</v>
      </c>
      <c r="B20" s="24" t="s">
        <v>50</v>
      </c>
      <c r="C20" s="24" t="s">
        <v>167</v>
      </c>
      <c r="D20" s="24" t="s">
        <v>168</v>
      </c>
      <c r="E20" s="24" t="s">
        <v>169</v>
      </c>
      <c r="F20" s="25" t="s">
        <v>123</v>
      </c>
      <c r="G20" s="25" t="s">
        <v>92</v>
      </c>
      <c r="H20" s="24" t="s">
        <v>71</v>
      </c>
      <c r="I20" s="25" t="n">
        <v>3</v>
      </c>
      <c r="J20" s="25" t="s">
        <v>106</v>
      </c>
      <c r="K20" s="26" t="s">
        <v>16</v>
      </c>
      <c r="L20" s="27"/>
    </row>
    <row r="21" customFormat="false" ht="23.85" hidden="false" customHeight="false" outlineLevel="0" collapsed="false">
      <c r="A21" s="23" t="s">
        <v>170</v>
      </c>
      <c r="B21" s="24" t="s">
        <v>50</v>
      </c>
      <c r="C21" s="24" t="s">
        <v>171</v>
      </c>
      <c r="D21" s="24" t="s">
        <v>172</v>
      </c>
      <c r="E21" s="24" t="s">
        <v>173</v>
      </c>
      <c r="F21" s="25" t="s">
        <v>123</v>
      </c>
      <c r="G21" s="25" t="s">
        <v>92</v>
      </c>
      <c r="H21" s="24" t="s">
        <v>71</v>
      </c>
      <c r="I21" s="25" t="n">
        <v>4</v>
      </c>
      <c r="J21" s="25" t="s">
        <v>166</v>
      </c>
      <c r="K21" s="26" t="s">
        <v>16</v>
      </c>
      <c r="L21" s="27"/>
    </row>
    <row r="22" customFormat="false" ht="15" hidden="false" customHeight="false" outlineLevel="0" collapsed="false">
      <c r="A22" s="23" t="s">
        <v>174</v>
      </c>
      <c r="B22" s="24" t="s">
        <v>50</v>
      </c>
      <c r="C22" s="24" t="s">
        <v>175</v>
      </c>
      <c r="D22" s="24" t="s">
        <v>176</v>
      </c>
      <c r="E22" s="24" t="s">
        <v>177</v>
      </c>
      <c r="F22" s="25" t="s">
        <v>123</v>
      </c>
      <c r="G22" s="25" t="s">
        <v>92</v>
      </c>
      <c r="H22" s="24" t="s">
        <v>71</v>
      </c>
      <c r="I22" s="25" t="n">
        <v>1</v>
      </c>
      <c r="J22" s="25" t="s">
        <v>93</v>
      </c>
      <c r="K22" s="26" t="s">
        <v>16</v>
      </c>
      <c r="L22" s="27"/>
    </row>
    <row r="23" customFormat="false" ht="23.85" hidden="false" customHeight="false" outlineLevel="0" collapsed="false">
      <c r="A23" s="23" t="s">
        <v>178</v>
      </c>
      <c r="B23" s="24" t="s">
        <v>50</v>
      </c>
      <c r="C23" s="24" t="s">
        <v>179</v>
      </c>
      <c r="D23" s="24" t="s">
        <v>180</v>
      </c>
      <c r="E23" s="24" t="s">
        <v>181</v>
      </c>
      <c r="F23" s="25" t="s">
        <v>91</v>
      </c>
      <c r="G23" s="25" t="s">
        <v>92</v>
      </c>
      <c r="H23" s="24" t="s">
        <v>71</v>
      </c>
      <c r="I23" s="25" t="n">
        <v>5</v>
      </c>
      <c r="J23" s="25" t="s">
        <v>170</v>
      </c>
      <c r="K23" s="26" t="s">
        <v>16</v>
      </c>
      <c r="L23" s="27"/>
    </row>
    <row r="24" customFormat="false" ht="35.05" hidden="false" customHeight="false" outlineLevel="0" collapsed="false">
      <c r="A24" s="23" t="s">
        <v>182</v>
      </c>
      <c r="B24" s="24" t="s">
        <v>50</v>
      </c>
      <c r="C24" s="24" t="s">
        <v>183</v>
      </c>
      <c r="D24" s="24" t="s">
        <v>184</v>
      </c>
      <c r="E24" s="24" t="s">
        <v>185</v>
      </c>
      <c r="F24" s="25" t="s">
        <v>123</v>
      </c>
      <c r="G24" s="25" t="s">
        <v>92</v>
      </c>
      <c r="H24" s="24" t="s">
        <v>71</v>
      </c>
      <c r="I24" s="25" t="n">
        <v>6</v>
      </c>
      <c r="J24" s="25" t="s">
        <v>178</v>
      </c>
      <c r="K24" s="26" t="s">
        <v>16</v>
      </c>
      <c r="L24" s="27"/>
    </row>
    <row r="25" customFormat="false" ht="23.85" hidden="false" customHeight="false" outlineLevel="0" collapsed="false">
      <c r="A25" s="23" t="s">
        <v>186</v>
      </c>
      <c r="B25" s="24" t="s">
        <v>50</v>
      </c>
      <c r="C25" s="24" t="s">
        <v>187</v>
      </c>
      <c r="D25" s="24" t="s">
        <v>188</v>
      </c>
      <c r="E25" s="24" t="s">
        <v>189</v>
      </c>
      <c r="F25" s="25" t="s">
        <v>123</v>
      </c>
      <c r="G25" s="25" t="s">
        <v>92</v>
      </c>
      <c r="H25" s="24" t="s">
        <v>71</v>
      </c>
      <c r="I25" s="25" t="n">
        <v>3</v>
      </c>
      <c r="J25" s="25" t="s">
        <v>182</v>
      </c>
      <c r="K25" s="26" t="s">
        <v>16</v>
      </c>
      <c r="L25" s="27"/>
    </row>
    <row r="26" customFormat="false" ht="23.85" hidden="false" customHeight="false" outlineLevel="0" collapsed="false">
      <c r="A26" s="23" t="s">
        <v>190</v>
      </c>
      <c r="B26" s="24" t="s">
        <v>50</v>
      </c>
      <c r="C26" s="24" t="s">
        <v>191</v>
      </c>
      <c r="D26" s="24" t="s">
        <v>192</v>
      </c>
      <c r="E26" s="24" t="s">
        <v>193</v>
      </c>
      <c r="F26" s="25" t="s">
        <v>123</v>
      </c>
      <c r="G26" s="25" t="s">
        <v>145</v>
      </c>
      <c r="H26" s="24" t="s">
        <v>72</v>
      </c>
      <c r="I26" s="25" t="n">
        <v>3</v>
      </c>
      <c r="J26" s="25" t="s">
        <v>182</v>
      </c>
      <c r="K26" s="26" t="s">
        <v>16</v>
      </c>
      <c r="L26" s="27"/>
    </row>
    <row r="27" customFormat="false" ht="35.05" hidden="false" customHeight="false" outlineLevel="0" collapsed="false">
      <c r="A27" s="23" t="s">
        <v>194</v>
      </c>
      <c r="B27" s="24" t="s">
        <v>50</v>
      </c>
      <c r="C27" s="24" t="s">
        <v>195</v>
      </c>
      <c r="D27" s="24" t="s">
        <v>196</v>
      </c>
      <c r="E27" s="24" t="s">
        <v>197</v>
      </c>
      <c r="F27" s="25" t="s">
        <v>123</v>
      </c>
      <c r="G27" s="25" t="s">
        <v>92</v>
      </c>
      <c r="H27" s="24" t="s">
        <v>71</v>
      </c>
      <c r="I27" s="25" t="n">
        <v>5</v>
      </c>
      <c r="J27" s="25" t="s">
        <v>182</v>
      </c>
      <c r="K27" s="26" t="s">
        <v>16</v>
      </c>
      <c r="L27" s="27"/>
    </row>
    <row r="28" customFormat="false" ht="23.85" hidden="false" customHeight="false" outlineLevel="0" collapsed="false">
      <c r="A28" s="23" t="s">
        <v>198</v>
      </c>
      <c r="B28" s="24" t="s">
        <v>50</v>
      </c>
      <c r="C28" s="24" t="s">
        <v>199</v>
      </c>
      <c r="D28" s="24" t="s">
        <v>200</v>
      </c>
      <c r="E28" s="24" t="s">
        <v>201</v>
      </c>
      <c r="F28" s="25" t="s">
        <v>123</v>
      </c>
      <c r="G28" s="25" t="s">
        <v>92</v>
      </c>
      <c r="H28" s="24" t="s">
        <v>71</v>
      </c>
      <c r="I28" s="25" t="n">
        <v>2</v>
      </c>
      <c r="J28" s="25" t="s">
        <v>182</v>
      </c>
      <c r="K28" s="26" t="s">
        <v>16</v>
      </c>
      <c r="L28" s="27"/>
    </row>
    <row r="29" customFormat="false" ht="23.85" hidden="false" customHeight="false" outlineLevel="0" collapsed="false">
      <c r="A29" s="23" t="s">
        <v>202</v>
      </c>
      <c r="B29" s="24" t="s">
        <v>50</v>
      </c>
      <c r="C29" s="24" t="s">
        <v>203</v>
      </c>
      <c r="D29" s="24" t="s">
        <v>204</v>
      </c>
      <c r="E29" s="24" t="s">
        <v>205</v>
      </c>
      <c r="F29" s="25" t="s">
        <v>123</v>
      </c>
      <c r="G29" s="25" t="s">
        <v>92</v>
      </c>
      <c r="H29" s="24" t="s">
        <v>71</v>
      </c>
      <c r="I29" s="25" t="n">
        <v>5</v>
      </c>
      <c r="J29" s="25" t="s">
        <v>206</v>
      </c>
      <c r="K29" s="26" t="s">
        <v>16</v>
      </c>
      <c r="L29" s="27"/>
    </row>
    <row r="30" customFormat="false" ht="23.85" hidden="false" customHeight="false" outlineLevel="0" collapsed="false">
      <c r="A30" s="23" t="s">
        <v>207</v>
      </c>
      <c r="B30" s="24" t="s">
        <v>50</v>
      </c>
      <c r="C30" s="24" t="s">
        <v>208</v>
      </c>
      <c r="D30" s="24" t="s">
        <v>209</v>
      </c>
      <c r="E30" s="24" t="s">
        <v>210</v>
      </c>
      <c r="F30" s="25" t="s">
        <v>123</v>
      </c>
      <c r="G30" s="25" t="s">
        <v>145</v>
      </c>
      <c r="H30" s="24" t="s">
        <v>72</v>
      </c>
      <c r="I30" s="25" t="n">
        <v>6</v>
      </c>
      <c r="J30" s="25" t="s">
        <v>211</v>
      </c>
      <c r="K30" s="26" t="s">
        <v>16</v>
      </c>
      <c r="L30" s="27"/>
    </row>
    <row r="31" customFormat="false" ht="23.85" hidden="false" customHeight="false" outlineLevel="0" collapsed="false">
      <c r="A31" s="23" t="s">
        <v>212</v>
      </c>
      <c r="B31" s="24" t="s">
        <v>50</v>
      </c>
      <c r="C31" s="24" t="s">
        <v>213</v>
      </c>
      <c r="D31" s="24" t="s">
        <v>214</v>
      </c>
      <c r="E31" s="24" t="s">
        <v>215</v>
      </c>
      <c r="F31" s="25" t="s">
        <v>91</v>
      </c>
      <c r="G31" s="25" t="s">
        <v>92</v>
      </c>
      <c r="H31" s="24" t="s">
        <v>71</v>
      </c>
      <c r="I31" s="25" t="n">
        <v>4</v>
      </c>
      <c r="J31" s="25" t="s">
        <v>216</v>
      </c>
      <c r="K31" s="26" t="s">
        <v>16</v>
      </c>
      <c r="L31" s="27"/>
    </row>
    <row r="32" customFormat="false" ht="23.85" hidden="false" customHeight="false" outlineLevel="0" collapsed="false">
      <c r="A32" s="23" t="s">
        <v>217</v>
      </c>
      <c r="B32" s="24" t="s">
        <v>50</v>
      </c>
      <c r="C32" s="24" t="s">
        <v>218</v>
      </c>
      <c r="D32" s="24" t="s">
        <v>219</v>
      </c>
      <c r="E32" s="24" t="s">
        <v>220</v>
      </c>
      <c r="F32" s="25" t="s">
        <v>123</v>
      </c>
      <c r="G32" s="25" t="s">
        <v>221</v>
      </c>
      <c r="H32" s="24" t="s">
        <v>73</v>
      </c>
      <c r="I32" s="25" t="n">
        <v>10</v>
      </c>
      <c r="J32" s="25" t="s">
        <v>182</v>
      </c>
      <c r="K32" s="26" t="s">
        <v>16</v>
      </c>
      <c r="L32" s="27"/>
    </row>
    <row r="33" customFormat="false" ht="35.05" hidden="false" customHeight="false" outlineLevel="0" collapsed="false">
      <c r="A33" s="23" t="s">
        <v>216</v>
      </c>
      <c r="B33" s="24" t="s">
        <v>51</v>
      </c>
      <c r="C33" s="24" t="s">
        <v>222</v>
      </c>
      <c r="D33" s="24" t="s">
        <v>223</v>
      </c>
      <c r="E33" s="24" t="s">
        <v>224</v>
      </c>
      <c r="F33" s="25" t="s">
        <v>123</v>
      </c>
      <c r="G33" s="25" t="s">
        <v>92</v>
      </c>
      <c r="H33" s="24" t="s">
        <v>71</v>
      </c>
      <c r="I33" s="25" t="n">
        <v>5</v>
      </c>
      <c r="J33" s="25" t="s">
        <v>178</v>
      </c>
      <c r="K33" s="26" t="s">
        <v>16</v>
      </c>
      <c r="L33" s="27"/>
    </row>
    <row r="34" customFormat="false" ht="23.85" hidden="false" customHeight="false" outlineLevel="0" collapsed="false">
      <c r="A34" s="23" t="s">
        <v>225</v>
      </c>
      <c r="B34" s="24" t="s">
        <v>51</v>
      </c>
      <c r="C34" s="24" t="s">
        <v>226</v>
      </c>
      <c r="D34" s="24" t="s">
        <v>227</v>
      </c>
      <c r="E34" s="24" t="s">
        <v>228</v>
      </c>
      <c r="F34" s="25" t="s">
        <v>123</v>
      </c>
      <c r="G34" s="25" t="s">
        <v>92</v>
      </c>
      <c r="H34" s="24" t="s">
        <v>71</v>
      </c>
      <c r="I34" s="25" t="n">
        <v>3</v>
      </c>
      <c r="J34" s="25" t="s">
        <v>216</v>
      </c>
      <c r="K34" s="26" t="s">
        <v>16</v>
      </c>
      <c r="L34" s="27"/>
    </row>
    <row r="35" customFormat="false" ht="23.85" hidden="false" customHeight="false" outlineLevel="0" collapsed="false">
      <c r="A35" s="23" t="s">
        <v>229</v>
      </c>
      <c r="B35" s="24" t="s">
        <v>51</v>
      </c>
      <c r="C35" s="24" t="s">
        <v>230</v>
      </c>
      <c r="D35" s="24" t="s">
        <v>231</v>
      </c>
      <c r="E35" s="24" t="s">
        <v>232</v>
      </c>
      <c r="F35" s="25" t="s">
        <v>123</v>
      </c>
      <c r="G35" s="25" t="s">
        <v>92</v>
      </c>
      <c r="H35" s="24" t="s">
        <v>71</v>
      </c>
      <c r="I35" s="25" t="n">
        <v>2</v>
      </c>
      <c r="J35" s="25" t="s">
        <v>216</v>
      </c>
      <c r="K35" s="26" t="s">
        <v>16</v>
      </c>
      <c r="L35" s="27"/>
    </row>
    <row r="36" customFormat="false" ht="23.85" hidden="false" customHeight="false" outlineLevel="0" collapsed="false">
      <c r="A36" s="23" t="s">
        <v>233</v>
      </c>
      <c r="B36" s="24" t="s">
        <v>51</v>
      </c>
      <c r="C36" s="24" t="s">
        <v>234</v>
      </c>
      <c r="D36" s="24" t="s">
        <v>235</v>
      </c>
      <c r="E36" s="24" t="s">
        <v>236</v>
      </c>
      <c r="F36" s="25" t="s">
        <v>123</v>
      </c>
      <c r="G36" s="25" t="s">
        <v>92</v>
      </c>
      <c r="H36" s="24" t="s">
        <v>71</v>
      </c>
      <c r="I36" s="25" t="n">
        <v>3</v>
      </c>
      <c r="J36" s="25" t="s">
        <v>237</v>
      </c>
      <c r="K36" s="26" t="s">
        <v>16</v>
      </c>
      <c r="L36" s="27"/>
    </row>
    <row r="37" customFormat="false" ht="23.85" hidden="false" customHeight="false" outlineLevel="0" collapsed="false">
      <c r="A37" s="23" t="s">
        <v>238</v>
      </c>
      <c r="B37" s="24" t="s">
        <v>51</v>
      </c>
      <c r="C37" s="24" t="s">
        <v>239</v>
      </c>
      <c r="D37" s="24" t="s">
        <v>240</v>
      </c>
      <c r="E37" s="24" t="s">
        <v>241</v>
      </c>
      <c r="F37" s="25" t="s">
        <v>123</v>
      </c>
      <c r="G37" s="25" t="s">
        <v>92</v>
      </c>
      <c r="H37" s="24" t="s">
        <v>71</v>
      </c>
      <c r="I37" s="25" t="n">
        <v>5</v>
      </c>
      <c r="J37" s="25" t="s">
        <v>178</v>
      </c>
      <c r="K37" s="26" t="s">
        <v>16</v>
      </c>
      <c r="L37" s="27"/>
    </row>
    <row r="38" customFormat="false" ht="23.85" hidden="false" customHeight="false" outlineLevel="0" collapsed="false">
      <c r="A38" s="23" t="s">
        <v>242</v>
      </c>
      <c r="B38" s="24" t="s">
        <v>51</v>
      </c>
      <c r="C38" s="24" t="s">
        <v>243</v>
      </c>
      <c r="D38" s="24" t="s">
        <v>244</v>
      </c>
      <c r="E38" s="24" t="s">
        <v>245</v>
      </c>
      <c r="F38" s="25" t="s">
        <v>123</v>
      </c>
      <c r="G38" s="25" t="s">
        <v>92</v>
      </c>
      <c r="H38" s="24" t="s">
        <v>71</v>
      </c>
      <c r="I38" s="25" t="n">
        <v>1</v>
      </c>
      <c r="J38" s="25" t="s">
        <v>246</v>
      </c>
      <c r="K38" s="26" t="s">
        <v>16</v>
      </c>
      <c r="L38" s="27"/>
    </row>
    <row r="39" customFormat="false" ht="23.85" hidden="false" customHeight="false" outlineLevel="0" collapsed="false">
      <c r="A39" s="23" t="s">
        <v>247</v>
      </c>
      <c r="B39" s="24" t="s">
        <v>51</v>
      </c>
      <c r="C39" s="24" t="s">
        <v>248</v>
      </c>
      <c r="D39" s="24" t="s">
        <v>249</v>
      </c>
      <c r="E39" s="24" t="s">
        <v>250</v>
      </c>
      <c r="F39" s="25" t="s">
        <v>123</v>
      </c>
      <c r="G39" s="25" t="s">
        <v>145</v>
      </c>
      <c r="H39" s="24" t="s">
        <v>72</v>
      </c>
      <c r="I39" s="25" t="n">
        <v>2</v>
      </c>
      <c r="J39" s="25" t="s">
        <v>216</v>
      </c>
      <c r="K39" s="26" t="s">
        <v>16</v>
      </c>
      <c r="L39" s="27"/>
    </row>
    <row r="40" customFormat="false" ht="23.85" hidden="false" customHeight="false" outlineLevel="0" collapsed="false">
      <c r="A40" s="23" t="s">
        <v>251</v>
      </c>
      <c r="B40" s="24" t="s">
        <v>52</v>
      </c>
      <c r="C40" s="24" t="s">
        <v>252</v>
      </c>
      <c r="D40" s="24" t="s">
        <v>253</v>
      </c>
      <c r="E40" s="24" t="s">
        <v>254</v>
      </c>
      <c r="F40" s="25" t="s">
        <v>123</v>
      </c>
      <c r="G40" s="25" t="s">
        <v>92</v>
      </c>
      <c r="H40" s="24" t="s">
        <v>71</v>
      </c>
      <c r="I40" s="25" t="n">
        <v>4</v>
      </c>
      <c r="J40" s="25" t="s">
        <v>216</v>
      </c>
      <c r="K40" s="26" t="s">
        <v>16</v>
      </c>
      <c r="L40" s="27"/>
    </row>
    <row r="41" customFormat="false" ht="23.85" hidden="false" customHeight="false" outlineLevel="0" collapsed="false">
      <c r="A41" s="23" t="s">
        <v>255</v>
      </c>
      <c r="B41" s="24" t="s">
        <v>52</v>
      </c>
      <c r="C41" s="24" t="s">
        <v>256</v>
      </c>
      <c r="D41" s="24" t="s">
        <v>257</v>
      </c>
      <c r="E41" s="24" t="s">
        <v>258</v>
      </c>
      <c r="F41" s="25" t="s">
        <v>123</v>
      </c>
      <c r="G41" s="25" t="s">
        <v>92</v>
      </c>
      <c r="H41" s="24" t="s">
        <v>71</v>
      </c>
      <c r="I41" s="25" t="n">
        <v>2</v>
      </c>
      <c r="J41" s="25" t="s">
        <v>251</v>
      </c>
      <c r="K41" s="26" t="s">
        <v>16</v>
      </c>
      <c r="L41" s="27"/>
    </row>
    <row r="42" customFormat="false" ht="23.85" hidden="false" customHeight="false" outlineLevel="0" collapsed="false">
      <c r="A42" s="23" t="s">
        <v>259</v>
      </c>
      <c r="B42" s="24" t="s">
        <v>52</v>
      </c>
      <c r="C42" s="24" t="s">
        <v>260</v>
      </c>
      <c r="D42" s="24" t="s">
        <v>261</v>
      </c>
      <c r="E42" s="24" t="s">
        <v>262</v>
      </c>
      <c r="F42" s="25" t="s">
        <v>123</v>
      </c>
      <c r="G42" s="25" t="s">
        <v>92</v>
      </c>
      <c r="H42" s="24" t="s">
        <v>71</v>
      </c>
      <c r="I42" s="25" t="n">
        <v>3</v>
      </c>
      <c r="J42" s="25" t="s">
        <v>251</v>
      </c>
      <c r="K42" s="26" t="s">
        <v>16</v>
      </c>
      <c r="L42" s="27"/>
    </row>
    <row r="43" customFormat="false" ht="15" hidden="false" customHeight="false" outlineLevel="0" collapsed="false">
      <c r="A43" s="23" t="s">
        <v>263</v>
      </c>
      <c r="B43" s="24" t="s">
        <v>52</v>
      </c>
      <c r="C43" s="24" t="s">
        <v>264</v>
      </c>
      <c r="D43" s="24" t="s">
        <v>265</v>
      </c>
      <c r="E43" s="24" t="s">
        <v>266</v>
      </c>
      <c r="F43" s="25" t="s">
        <v>123</v>
      </c>
      <c r="G43" s="25" t="s">
        <v>145</v>
      </c>
      <c r="H43" s="24" t="s">
        <v>72</v>
      </c>
      <c r="I43" s="25" t="n">
        <v>1</v>
      </c>
      <c r="J43" s="25" t="s">
        <v>251</v>
      </c>
      <c r="K43" s="26" t="s">
        <v>16</v>
      </c>
      <c r="L43" s="27"/>
    </row>
    <row r="44" customFormat="false" ht="35.05" hidden="false" customHeight="false" outlineLevel="0" collapsed="false">
      <c r="A44" s="23" t="s">
        <v>267</v>
      </c>
      <c r="B44" s="24" t="s">
        <v>52</v>
      </c>
      <c r="C44" s="24" t="s">
        <v>268</v>
      </c>
      <c r="D44" s="24" t="s">
        <v>269</v>
      </c>
      <c r="E44" s="24" t="s">
        <v>270</v>
      </c>
      <c r="F44" s="25" t="s">
        <v>123</v>
      </c>
      <c r="G44" s="25" t="s">
        <v>92</v>
      </c>
      <c r="H44" s="24" t="s">
        <v>71</v>
      </c>
      <c r="I44" s="25" t="n">
        <v>6</v>
      </c>
      <c r="J44" s="25" t="s">
        <v>259</v>
      </c>
      <c r="K44" s="26" t="s">
        <v>16</v>
      </c>
      <c r="L44" s="27"/>
    </row>
    <row r="45" customFormat="false" ht="23.85" hidden="false" customHeight="false" outlineLevel="0" collapsed="false">
      <c r="A45" s="23" t="s">
        <v>271</v>
      </c>
      <c r="B45" s="24" t="s">
        <v>52</v>
      </c>
      <c r="C45" s="24" t="s">
        <v>272</v>
      </c>
      <c r="D45" s="24" t="s">
        <v>273</v>
      </c>
      <c r="E45" s="24" t="s">
        <v>274</v>
      </c>
      <c r="F45" s="25" t="s">
        <v>123</v>
      </c>
      <c r="G45" s="25" t="s">
        <v>92</v>
      </c>
      <c r="H45" s="24" t="s">
        <v>71</v>
      </c>
      <c r="I45" s="25" t="n">
        <v>2</v>
      </c>
      <c r="J45" s="25" t="s">
        <v>267</v>
      </c>
      <c r="K45" s="26" t="s">
        <v>16</v>
      </c>
      <c r="L45" s="27"/>
    </row>
    <row r="46" customFormat="false" ht="23.85" hidden="false" customHeight="false" outlineLevel="0" collapsed="false">
      <c r="A46" s="23" t="s">
        <v>275</v>
      </c>
      <c r="B46" s="24" t="s">
        <v>52</v>
      </c>
      <c r="C46" s="24" t="s">
        <v>276</v>
      </c>
      <c r="D46" s="24" t="s">
        <v>277</v>
      </c>
      <c r="E46" s="24" t="s">
        <v>278</v>
      </c>
      <c r="F46" s="25" t="s">
        <v>123</v>
      </c>
      <c r="G46" s="25" t="s">
        <v>92</v>
      </c>
      <c r="H46" s="24" t="s">
        <v>71</v>
      </c>
      <c r="I46" s="25" t="n">
        <v>3</v>
      </c>
      <c r="J46" s="25" t="s">
        <v>279</v>
      </c>
      <c r="K46" s="26" t="s">
        <v>16</v>
      </c>
      <c r="L46" s="27"/>
    </row>
    <row r="47" customFormat="false" ht="15" hidden="false" customHeight="false" outlineLevel="0" collapsed="false">
      <c r="A47" s="23" t="s">
        <v>280</v>
      </c>
      <c r="B47" s="24" t="s">
        <v>52</v>
      </c>
      <c r="C47" s="24" t="s">
        <v>281</v>
      </c>
      <c r="D47" s="24" t="s">
        <v>282</v>
      </c>
      <c r="E47" s="24" t="s">
        <v>283</v>
      </c>
      <c r="F47" s="25" t="s">
        <v>123</v>
      </c>
      <c r="G47" s="25" t="s">
        <v>145</v>
      </c>
      <c r="H47" s="24" t="s">
        <v>72</v>
      </c>
      <c r="I47" s="25" t="n">
        <v>1</v>
      </c>
      <c r="J47" s="25" t="s">
        <v>141</v>
      </c>
      <c r="K47" s="26" t="s">
        <v>16</v>
      </c>
      <c r="L47" s="27"/>
    </row>
    <row r="48" customFormat="false" ht="23.85" hidden="false" customHeight="false" outlineLevel="0" collapsed="false">
      <c r="A48" s="23" t="s">
        <v>279</v>
      </c>
      <c r="B48" s="24" t="s">
        <v>53</v>
      </c>
      <c r="C48" s="24" t="s">
        <v>284</v>
      </c>
      <c r="D48" s="24" t="s">
        <v>285</v>
      </c>
      <c r="E48" s="24" t="s">
        <v>286</v>
      </c>
      <c r="F48" s="25" t="s">
        <v>123</v>
      </c>
      <c r="G48" s="25" t="s">
        <v>92</v>
      </c>
      <c r="H48" s="24" t="s">
        <v>71</v>
      </c>
      <c r="I48" s="25" t="n">
        <v>2</v>
      </c>
      <c r="J48" s="25" t="s">
        <v>267</v>
      </c>
      <c r="K48" s="26" t="s">
        <v>16</v>
      </c>
      <c r="L48" s="27"/>
    </row>
    <row r="49" customFormat="false" ht="23.85" hidden="false" customHeight="false" outlineLevel="0" collapsed="false">
      <c r="A49" s="23" t="s">
        <v>287</v>
      </c>
      <c r="B49" s="24" t="s">
        <v>53</v>
      </c>
      <c r="C49" s="24" t="s">
        <v>288</v>
      </c>
      <c r="D49" s="24" t="s">
        <v>289</v>
      </c>
      <c r="E49" s="24" t="s">
        <v>290</v>
      </c>
      <c r="F49" s="25" t="s">
        <v>91</v>
      </c>
      <c r="G49" s="25" t="s">
        <v>92</v>
      </c>
      <c r="H49" s="24" t="s">
        <v>71</v>
      </c>
      <c r="I49" s="25" t="n">
        <v>4</v>
      </c>
      <c r="J49" s="25" t="s">
        <v>93</v>
      </c>
      <c r="K49" s="26" t="s">
        <v>16</v>
      </c>
      <c r="L49" s="27"/>
    </row>
    <row r="50" customFormat="false" ht="35.05" hidden="false" customHeight="false" outlineLevel="0" collapsed="false">
      <c r="A50" s="23" t="s">
        <v>291</v>
      </c>
      <c r="B50" s="24" t="s">
        <v>53</v>
      </c>
      <c r="C50" s="24" t="s">
        <v>292</v>
      </c>
      <c r="D50" s="24" t="s">
        <v>293</v>
      </c>
      <c r="E50" s="24" t="s">
        <v>294</v>
      </c>
      <c r="F50" s="25" t="s">
        <v>149</v>
      </c>
      <c r="G50" s="25" t="s">
        <v>92</v>
      </c>
      <c r="H50" s="24" t="s">
        <v>71</v>
      </c>
      <c r="I50" s="25" t="n">
        <v>6</v>
      </c>
      <c r="J50" s="25" t="s">
        <v>287</v>
      </c>
      <c r="K50" s="26" t="s">
        <v>16</v>
      </c>
      <c r="L50" s="27"/>
    </row>
    <row r="51" customFormat="false" ht="23.85" hidden="false" customHeight="false" outlineLevel="0" collapsed="false">
      <c r="A51" s="23" t="s">
        <v>295</v>
      </c>
      <c r="B51" s="24" t="s">
        <v>53</v>
      </c>
      <c r="C51" s="24" t="s">
        <v>296</v>
      </c>
      <c r="D51" s="24" t="s">
        <v>297</v>
      </c>
      <c r="E51" s="24" t="s">
        <v>298</v>
      </c>
      <c r="F51" s="25" t="s">
        <v>123</v>
      </c>
      <c r="G51" s="25" t="s">
        <v>92</v>
      </c>
      <c r="H51" s="24" t="s">
        <v>71</v>
      </c>
      <c r="I51" s="25" t="n">
        <v>3</v>
      </c>
      <c r="J51" s="25" t="s">
        <v>291</v>
      </c>
      <c r="K51" s="26" t="s">
        <v>16</v>
      </c>
      <c r="L51" s="27"/>
    </row>
    <row r="52" customFormat="false" ht="15" hidden="false" customHeight="false" outlineLevel="0" collapsed="false">
      <c r="A52" s="23" t="s">
        <v>299</v>
      </c>
      <c r="B52" s="24" t="s">
        <v>53</v>
      </c>
      <c r="C52" s="24" t="s">
        <v>300</v>
      </c>
      <c r="D52" s="24" t="s">
        <v>301</v>
      </c>
      <c r="E52" s="24" t="s">
        <v>302</v>
      </c>
      <c r="F52" s="25" t="s">
        <v>149</v>
      </c>
      <c r="G52" s="25" t="s">
        <v>145</v>
      </c>
      <c r="H52" s="24" t="s">
        <v>72</v>
      </c>
      <c r="I52" s="25" t="n">
        <v>5</v>
      </c>
      <c r="J52" s="25" t="s">
        <v>287</v>
      </c>
      <c r="K52" s="26" t="s">
        <v>16</v>
      </c>
      <c r="L52" s="27"/>
    </row>
    <row r="53" customFormat="false" ht="23.85" hidden="false" customHeight="false" outlineLevel="0" collapsed="false">
      <c r="A53" s="23" t="s">
        <v>303</v>
      </c>
      <c r="B53" s="24" t="s">
        <v>53</v>
      </c>
      <c r="C53" s="24" t="s">
        <v>304</v>
      </c>
      <c r="D53" s="24" t="s">
        <v>305</v>
      </c>
      <c r="E53" s="24" t="s">
        <v>306</v>
      </c>
      <c r="F53" s="25" t="s">
        <v>123</v>
      </c>
      <c r="G53" s="25" t="s">
        <v>145</v>
      </c>
      <c r="H53" s="24" t="s">
        <v>72</v>
      </c>
      <c r="I53" s="25" t="n">
        <v>5</v>
      </c>
      <c r="J53" s="25" t="s">
        <v>295</v>
      </c>
      <c r="K53" s="26" t="s">
        <v>16</v>
      </c>
      <c r="L53" s="27"/>
    </row>
    <row r="54" customFormat="false" ht="35.05" hidden="false" customHeight="false" outlineLevel="0" collapsed="false">
      <c r="A54" s="23" t="s">
        <v>307</v>
      </c>
      <c r="B54" s="24" t="s">
        <v>53</v>
      </c>
      <c r="C54" s="24" t="s">
        <v>308</v>
      </c>
      <c r="D54" s="24" t="s">
        <v>309</v>
      </c>
      <c r="E54" s="24" t="s">
        <v>310</v>
      </c>
      <c r="F54" s="25" t="s">
        <v>123</v>
      </c>
      <c r="G54" s="25" t="s">
        <v>145</v>
      </c>
      <c r="H54" s="24" t="s">
        <v>72</v>
      </c>
      <c r="I54" s="25" t="n">
        <v>4</v>
      </c>
      <c r="J54" s="25" t="s">
        <v>303</v>
      </c>
      <c r="K54" s="26" t="s">
        <v>16</v>
      </c>
      <c r="L54" s="27"/>
    </row>
    <row r="55" customFormat="false" ht="23.85" hidden="false" customHeight="false" outlineLevel="0" collapsed="false">
      <c r="A55" s="23" t="s">
        <v>311</v>
      </c>
      <c r="B55" s="24" t="s">
        <v>53</v>
      </c>
      <c r="C55" s="24" t="s">
        <v>312</v>
      </c>
      <c r="D55" s="24" t="s">
        <v>313</v>
      </c>
      <c r="E55" s="24" t="s">
        <v>314</v>
      </c>
      <c r="F55" s="25" t="s">
        <v>123</v>
      </c>
      <c r="G55" s="25" t="s">
        <v>145</v>
      </c>
      <c r="H55" s="24" t="s">
        <v>72</v>
      </c>
      <c r="I55" s="25" t="n">
        <v>2</v>
      </c>
      <c r="J55" s="25" t="s">
        <v>287</v>
      </c>
      <c r="K55" s="26" t="s">
        <v>16</v>
      </c>
      <c r="L55" s="27"/>
    </row>
    <row r="56" customFormat="false" ht="15" hidden="false" customHeight="false" outlineLevel="0" collapsed="false">
      <c r="A56" s="23" t="s">
        <v>315</v>
      </c>
      <c r="B56" s="24" t="s">
        <v>53</v>
      </c>
      <c r="C56" s="24" t="s">
        <v>316</v>
      </c>
      <c r="D56" s="24" t="s">
        <v>317</v>
      </c>
      <c r="E56" s="24" t="s">
        <v>318</v>
      </c>
      <c r="F56" s="25" t="s">
        <v>149</v>
      </c>
      <c r="G56" s="25" t="s">
        <v>221</v>
      </c>
      <c r="H56" s="24" t="s">
        <v>73</v>
      </c>
      <c r="I56" s="25" t="n">
        <v>8</v>
      </c>
      <c r="J56" s="25" t="s">
        <v>287</v>
      </c>
      <c r="K56" s="26" t="s">
        <v>16</v>
      </c>
      <c r="L56" s="27"/>
    </row>
    <row r="57" customFormat="false" ht="15" hidden="false" customHeight="false" outlineLevel="0" collapsed="false">
      <c r="A57" s="23" t="s">
        <v>319</v>
      </c>
      <c r="B57" s="24" t="s">
        <v>53</v>
      </c>
      <c r="C57" s="24" t="s">
        <v>320</v>
      </c>
      <c r="D57" s="24" t="s">
        <v>321</v>
      </c>
      <c r="E57" s="24" t="s">
        <v>322</v>
      </c>
      <c r="F57" s="25" t="s">
        <v>149</v>
      </c>
      <c r="G57" s="25" t="s">
        <v>221</v>
      </c>
      <c r="H57" s="24" t="s">
        <v>73</v>
      </c>
      <c r="I57" s="25" t="n">
        <v>5</v>
      </c>
      <c r="J57" s="25" t="s">
        <v>287</v>
      </c>
      <c r="K57" s="26" t="s">
        <v>16</v>
      </c>
      <c r="L57" s="27"/>
    </row>
    <row r="58" customFormat="false" ht="23.85" hidden="false" customHeight="false" outlineLevel="0" collapsed="false">
      <c r="A58" s="23" t="s">
        <v>237</v>
      </c>
      <c r="B58" s="24" t="s">
        <v>54</v>
      </c>
      <c r="C58" s="24" t="s">
        <v>323</v>
      </c>
      <c r="D58" s="24" t="s">
        <v>324</v>
      </c>
      <c r="E58" s="24" t="s">
        <v>325</v>
      </c>
      <c r="F58" s="25" t="s">
        <v>123</v>
      </c>
      <c r="G58" s="25" t="s">
        <v>92</v>
      </c>
      <c r="H58" s="24" t="s">
        <v>71</v>
      </c>
      <c r="I58" s="25" t="n">
        <v>3</v>
      </c>
      <c r="J58" s="25" t="s">
        <v>110</v>
      </c>
      <c r="K58" s="26" t="s">
        <v>16</v>
      </c>
      <c r="L58" s="27"/>
    </row>
    <row r="59" customFormat="false" ht="23.85" hidden="false" customHeight="false" outlineLevel="0" collapsed="false">
      <c r="A59" s="23" t="s">
        <v>326</v>
      </c>
      <c r="B59" s="24" t="s">
        <v>54</v>
      </c>
      <c r="C59" s="24" t="s">
        <v>327</v>
      </c>
      <c r="D59" s="24" t="s">
        <v>328</v>
      </c>
      <c r="E59" s="24" t="s">
        <v>329</v>
      </c>
      <c r="F59" s="25" t="s">
        <v>149</v>
      </c>
      <c r="G59" s="25" t="s">
        <v>92</v>
      </c>
      <c r="H59" s="24" t="s">
        <v>71</v>
      </c>
      <c r="I59" s="25" t="n">
        <v>6</v>
      </c>
      <c r="J59" s="25" t="s">
        <v>237</v>
      </c>
      <c r="K59" s="26" t="s">
        <v>16</v>
      </c>
      <c r="L59" s="27"/>
    </row>
    <row r="60" customFormat="false" ht="15" hidden="false" customHeight="false" outlineLevel="0" collapsed="false">
      <c r="A60" s="23" t="s">
        <v>330</v>
      </c>
      <c r="B60" s="24" t="s">
        <v>54</v>
      </c>
      <c r="C60" s="24" t="s">
        <v>331</v>
      </c>
      <c r="D60" s="24" t="s">
        <v>332</v>
      </c>
      <c r="E60" s="24" t="s">
        <v>333</v>
      </c>
      <c r="F60" s="25" t="s">
        <v>149</v>
      </c>
      <c r="G60" s="25" t="s">
        <v>92</v>
      </c>
      <c r="H60" s="24" t="s">
        <v>71</v>
      </c>
      <c r="I60" s="25" t="n">
        <v>5</v>
      </c>
      <c r="J60" s="25" t="s">
        <v>326</v>
      </c>
      <c r="K60" s="26" t="s">
        <v>16</v>
      </c>
      <c r="L60" s="27"/>
    </row>
    <row r="61" customFormat="false" ht="15" hidden="false" customHeight="false" outlineLevel="0" collapsed="false">
      <c r="A61" s="23" t="s">
        <v>334</v>
      </c>
      <c r="B61" s="24" t="s">
        <v>54</v>
      </c>
      <c r="C61" s="24" t="s">
        <v>335</v>
      </c>
      <c r="D61" s="24" t="s">
        <v>336</v>
      </c>
      <c r="E61" s="24" t="s">
        <v>337</v>
      </c>
      <c r="F61" s="25" t="s">
        <v>123</v>
      </c>
      <c r="G61" s="25" t="s">
        <v>92</v>
      </c>
      <c r="H61" s="24" t="s">
        <v>71</v>
      </c>
      <c r="I61" s="25" t="n">
        <v>3</v>
      </c>
      <c r="J61" s="25" t="s">
        <v>326</v>
      </c>
      <c r="K61" s="26" t="s">
        <v>16</v>
      </c>
      <c r="L61" s="27"/>
    </row>
    <row r="62" customFormat="false" ht="23.85" hidden="false" customHeight="false" outlineLevel="0" collapsed="false">
      <c r="A62" s="23" t="s">
        <v>338</v>
      </c>
      <c r="B62" s="24" t="s">
        <v>54</v>
      </c>
      <c r="C62" s="24" t="s">
        <v>339</v>
      </c>
      <c r="D62" s="24" t="s">
        <v>340</v>
      </c>
      <c r="E62" s="24" t="s">
        <v>341</v>
      </c>
      <c r="F62" s="25" t="s">
        <v>123</v>
      </c>
      <c r="G62" s="25" t="s">
        <v>92</v>
      </c>
      <c r="H62" s="24" t="s">
        <v>71</v>
      </c>
      <c r="I62" s="25" t="n">
        <v>3</v>
      </c>
      <c r="J62" s="25" t="s">
        <v>326</v>
      </c>
      <c r="K62" s="26" t="s">
        <v>16</v>
      </c>
      <c r="L62" s="27"/>
    </row>
    <row r="63" customFormat="false" ht="23.85" hidden="false" customHeight="false" outlineLevel="0" collapsed="false">
      <c r="A63" s="23" t="s">
        <v>342</v>
      </c>
      <c r="B63" s="24" t="s">
        <v>54</v>
      </c>
      <c r="C63" s="24" t="s">
        <v>343</v>
      </c>
      <c r="D63" s="24" t="s">
        <v>344</v>
      </c>
      <c r="E63" s="24" t="s">
        <v>345</v>
      </c>
      <c r="F63" s="25" t="s">
        <v>123</v>
      </c>
      <c r="G63" s="25" t="s">
        <v>92</v>
      </c>
      <c r="H63" s="24" t="s">
        <v>71</v>
      </c>
      <c r="I63" s="25" t="n">
        <v>4</v>
      </c>
      <c r="J63" s="25" t="s">
        <v>326</v>
      </c>
      <c r="K63" s="26" t="s">
        <v>16</v>
      </c>
      <c r="L63" s="27"/>
    </row>
    <row r="64" customFormat="false" ht="23.85" hidden="false" customHeight="false" outlineLevel="0" collapsed="false">
      <c r="A64" s="23" t="s">
        <v>346</v>
      </c>
      <c r="B64" s="24" t="s">
        <v>54</v>
      </c>
      <c r="C64" s="24" t="s">
        <v>347</v>
      </c>
      <c r="D64" s="24" t="s">
        <v>348</v>
      </c>
      <c r="E64" s="24" t="s">
        <v>349</v>
      </c>
      <c r="F64" s="25" t="s">
        <v>123</v>
      </c>
      <c r="G64" s="25" t="s">
        <v>145</v>
      </c>
      <c r="H64" s="24" t="s">
        <v>72</v>
      </c>
      <c r="I64" s="25" t="n">
        <v>3</v>
      </c>
      <c r="J64" s="25" t="s">
        <v>237</v>
      </c>
      <c r="K64" s="26" t="s">
        <v>16</v>
      </c>
      <c r="L64" s="27"/>
    </row>
    <row r="65" customFormat="false" ht="23.85" hidden="false" customHeight="false" outlineLevel="0" collapsed="false">
      <c r="A65" s="23" t="s">
        <v>350</v>
      </c>
      <c r="B65" s="24" t="s">
        <v>54</v>
      </c>
      <c r="C65" s="24" t="s">
        <v>351</v>
      </c>
      <c r="D65" s="24" t="s">
        <v>352</v>
      </c>
      <c r="E65" s="24" t="s">
        <v>353</v>
      </c>
      <c r="F65" s="25" t="s">
        <v>123</v>
      </c>
      <c r="G65" s="25" t="s">
        <v>145</v>
      </c>
      <c r="H65" s="24" t="s">
        <v>72</v>
      </c>
      <c r="I65" s="25" t="n">
        <v>5</v>
      </c>
      <c r="J65" s="25" t="s">
        <v>326</v>
      </c>
      <c r="K65" s="26" t="s">
        <v>16</v>
      </c>
      <c r="L65" s="27"/>
    </row>
    <row r="66" customFormat="false" ht="23.85" hidden="false" customHeight="false" outlineLevel="0" collapsed="false">
      <c r="A66" s="23" t="s">
        <v>354</v>
      </c>
      <c r="B66" s="24" t="s">
        <v>54</v>
      </c>
      <c r="C66" s="24" t="s">
        <v>355</v>
      </c>
      <c r="D66" s="24" t="s">
        <v>356</v>
      </c>
      <c r="E66" s="24" t="s">
        <v>357</v>
      </c>
      <c r="F66" s="25" t="s">
        <v>123</v>
      </c>
      <c r="G66" s="25" t="s">
        <v>145</v>
      </c>
      <c r="H66" s="24" t="s">
        <v>72</v>
      </c>
      <c r="I66" s="25" t="n">
        <v>4</v>
      </c>
      <c r="J66" s="25" t="s">
        <v>237</v>
      </c>
      <c r="K66" s="26" t="s">
        <v>16</v>
      </c>
      <c r="L66" s="27"/>
    </row>
    <row r="67" customFormat="false" ht="23.85" hidden="false" customHeight="false" outlineLevel="0" collapsed="false">
      <c r="A67" s="23" t="s">
        <v>358</v>
      </c>
      <c r="B67" s="24" t="s">
        <v>54</v>
      </c>
      <c r="C67" s="24" t="s">
        <v>359</v>
      </c>
      <c r="D67" s="24" t="s">
        <v>360</v>
      </c>
      <c r="E67" s="24" t="s">
        <v>361</v>
      </c>
      <c r="F67" s="25" t="s">
        <v>123</v>
      </c>
      <c r="G67" s="25" t="s">
        <v>221</v>
      </c>
      <c r="H67" s="24" t="s">
        <v>73</v>
      </c>
      <c r="I67" s="25" t="n">
        <v>20</v>
      </c>
      <c r="J67" s="25" t="s">
        <v>334</v>
      </c>
      <c r="K67" s="26" t="s">
        <v>16</v>
      </c>
      <c r="L67" s="27"/>
    </row>
    <row r="68" customFormat="false" ht="23.85" hidden="false" customHeight="false" outlineLevel="0" collapsed="false">
      <c r="A68" s="23" t="s">
        <v>211</v>
      </c>
      <c r="B68" s="24" t="s">
        <v>55</v>
      </c>
      <c r="C68" s="24" t="s">
        <v>362</v>
      </c>
      <c r="D68" s="24" t="s">
        <v>363</v>
      </c>
      <c r="E68" s="24" t="s">
        <v>364</v>
      </c>
      <c r="F68" s="25" t="s">
        <v>91</v>
      </c>
      <c r="G68" s="25" t="s">
        <v>92</v>
      </c>
      <c r="H68" s="24" t="s">
        <v>71</v>
      </c>
      <c r="I68" s="25" t="n">
        <v>4</v>
      </c>
      <c r="J68" s="25" t="s">
        <v>267</v>
      </c>
      <c r="K68" s="26" t="s">
        <v>16</v>
      </c>
      <c r="L68" s="27"/>
    </row>
    <row r="69" customFormat="false" ht="23.85" hidden="false" customHeight="false" outlineLevel="0" collapsed="false">
      <c r="A69" s="23" t="s">
        <v>365</v>
      </c>
      <c r="B69" s="24" t="s">
        <v>55</v>
      </c>
      <c r="C69" s="24" t="s">
        <v>366</v>
      </c>
      <c r="D69" s="24" t="s">
        <v>367</v>
      </c>
      <c r="E69" s="24" t="s">
        <v>368</v>
      </c>
      <c r="F69" s="25" t="s">
        <v>91</v>
      </c>
      <c r="G69" s="25" t="s">
        <v>92</v>
      </c>
      <c r="H69" s="24" t="s">
        <v>71</v>
      </c>
      <c r="I69" s="25" t="n">
        <v>3</v>
      </c>
      <c r="J69" s="25" t="s">
        <v>211</v>
      </c>
      <c r="K69" s="26" t="s">
        <v>16</v>
      </c>
      <c r="L69" s="27"/>
    </row>
    <row r="70" customFormat="false" ht="23.85" hidden="false" customHeight="false" outlineLevel="0" collapsed="false">
      <c r="A70" s="23" t="s">
        <v>369</v>
      </c>
      <c r="B70" s="24" t="s">
        <v>55</v>
      </c>
      <c r="C70" s="24" t="s">
        <v>370</v>
      </c>
      <c r="D70" s="24" t="s">
        <v>371</v>
      </c>
      <c r="E70" s="24" t="s">
        <v>372</v>
      </c>
      <c r="F70" s="25" t="s">
        <v>123</v>
      </c>
      <c r="G70" s="25" t="s">
        <v>92</v>
      </c>
      <c r="H70" s="24" t="s">
        <v>71</v>
      </c>
      <c r="I70" s="25" t="n">
        <v>3</v>
      </c>
      <c r="J70" s="25" t="s">
        <v>211</v>
      </c>
      <c r="K70" s="26" t="s">
        <v>16</v>
      </c>
      <c r="L70" s="27"/>
    </row>
    <row r="71" customFormat="false" ht="23.85" hidden="false" customHeight="false" outlineLevel="0" collapsed="false">
      <c r="A71" s="23" t="s">
        <v>373</v>
      </c>
      <c r="B71" s="24" t="s">
        <v>55</v>
      </c>
      <c r="C71" s="24" t="s">
        <v>374</v>
      </c>
      <c r="D71" s="24" t="s">
        <v>375</v>
      </c>
      <c r="E71" s="24" t="s">
        <v>376</v>
      </c>
      <c r="F71" s="25" t="s">
        <v>123</v>
      </c>
      <c r="G71" s="25" t="s">
        <v>92</v>
      </c>
      <c r="H71" s="24" t="s">
        <v>71</v>
      </c>
      <c r="I71" s="25" t="n">
        <v>2</v>
      </c>
      <c r="J71" s="25" t="s">
        <v>211</v>
      </c>
      <c r="K71" s="26" t="s">
        <v>16</v>
      </c>
      <c r="L71" s="27"/>
    </row>
    <row r="72" customFormat="false" ht="23.85" hidden="false" customHeight="false" outlineLevel="0" collapsed="false">
      <c r="A72" s="23" t="s">
        <v>377</v>
      </c>
      <c r="B72" s="24" t="s">
        <v>55</v>
      </c>
      <c r="C72" s="24" t="s">
        <v>378</v>
      </c>
      <c r="D72" s="24" t="s">
        <v>379</v>
      </c>
      <c r="E72" s="24" t="s">
        <v>380</v>
      </c>
      <c r="F72" s="25" t="s">
        <v>123</v>
      </c>
      <c r="G72" s="25" t="s">
        <v>92</v>
      </c>
      <c r="H72" s="24" t="s">
        <v>71</v>
      </c>
      <c r="I72" s="25" t="n">
        <v>4</v>
      </c>
      <c r="J72" s="25" t="s">
        <v>369</v>
      </c>
      <c r="K72" s="26" t="s">
        <v>16</v>
      </c>
      <c r="L72" s="27"/>
    </row>
    <row r="73" customFormat="false" ht="23.85" hidden="false" customHeight="false" outlineLevel="0" collapsed="false">
      <c r="A73" s="23" t="s">
        <v>381</v>
      </c>
      <c r="B73" s="24" t="s">
        <v>55</v>
      </c>
      <c r="C73" s="24" t="s">
        <v>382</v>
      </c>
      <c r="D73" s="24" t="s">
        <v>383</v>
      </c>
      <c r="E73" s="24" t="s">
        <v>384</v>
      </c>
      <c r="F73" s="25" t="s">
        <v>123</v>
      </c>
      <c r="G73" s="25" t="s">
        <v>92</v>
      </c>
      <c r="H73" s="24" t="s">
        <v>71</v>
      </c>
      <c r="I73" s="25" t="n">
        <v>3</v>
      </c>
      <c r="J73" s="25" t="s">
        <v>377</v>
      </c>
      <c r="K73" s="26" t="s">
        <v>16</v>
      </c>
      <c r="L73" s="27"/>
    </row>
    <row r="74" customFormat="false" ht="23.85" hidden="false" customHeight="false" outlineLevel="0" collapsed="false">
      <c r="A74" s="23" t="s">
        <v>385</v>
      </c>
      <c r="B74" s="24" t="s">
        <v>55</v>
      </c>
      <c r="C74" s="24" t="s">
        <v>386</v>
      </c>
      <c r="D74" s="24" t="s">
        <v>387</v>
      </c>
      <c r="E74" s="24" t="s">
        <v>388</v>
      </c>
      <c r="F74" s="25" t="s">
        <v>123</v>
      </c>
      <c r="G74" s="25" t="s">
        <v>145</v>
      </c>
      <c r="H74" s="24" t="s">
        <v>72</v>
      </c>
      <c r="I74" s="25" t="n">
        <v>4</v>
      </c>
      <c r="J74" s="25" t="s">
        <v>381</v>
      </c>
      <c r="K74" s="26" t="s">
        <v>16</v>
      </c>
      <c r="L74" s="27"/>
    </row>
    <row r="75" customFormat="false" ht="23.85" hidden="false" customHeight="false" outlineLevel="0" collapsed="false">
      <c r="A75" s="23" t="s">
        <v>246</v>
      </c>
      <c r="B75" s="24" t="s">
        <v>56</v>
      </c>
      <c r="C75" s="24" t="s">
        <v>389</v>
      </c>
      <c r="D75" s="24" t="s">
        <v>390</v>
      </c>
      <c r="E75" s="24" t="s">
        <v>391</v>
      </c>
      <c r="F75" s="25" t="s">
        <v>123</v>
      </c>
      <c r="G75" s="25" t="s">
        <v>92</v>
      </c>
      <c r="H75" s="24" t="s">
        <v>71</v>
      </c>
      <c r="I75" s="25" t="n">
        <v>5</v>
      </c>
      <c r="J75" s="25" t="s">
        <v>162</v>
      </c>
      <c r="K75" s="26" t="s">
        <v>16</v>
      </c>
      <c r="L75" s="27"/>
    </row>
    <row r="76" customFormat="false" ht="23.85" hidden="false" customHeight="false" outlineLevel="0" collapsed="false">
      <c r="A76" s="23" t="s">
        <v>392</v>
      </c>
      <c r="B76" s="24" t="s">
        <v>56</v>
      </c>
      <c r="C76" s="24" t="s">
        <v>393</v>
      </c>
      <c r="D76" s="24" t="s">
        <v>394</v>
      </c>
      <c r="E76" s="24" t="s">
        <v>395</v>
      </c>
      <c r="F76" s="25" t="s">
        <v>123</v>
      </c>
      <c r="G76" s="25" t="s">
        <v>92</v>
      </c>
      <c r="H76" s="24" t="s">
        <v>71</v>
      </c>
      <c r="I76" s="25" t="n">
        <v>2</v>
      </c>
      <c r="J76" s="25" t="s">
        <v>246</v>
      </c>
      <c r="K76" s="26" t="s">
        <v>16</v>
      </c>
      <c r="L76" s="27"/>
    </row>
    <row r="77" customFormat="false" ht="23.85" hidden="false" customHeight="false" outlineLevel="0" collapsed="false">
      <c r="A77" s="23" t="s">
        <v>396</v>
      </c>
      <c r="B77" s="24" t="s">
        <v>56</v>
      </c>
      <c r="C77" s="24" t="s">
        <v>397</v>
      </c>
      <c r="D77" s="24" t="s">
        <v>398</v>
      </c>
      <c r="E77" s="24" t="s">
        <v>399</v>
      </c>
      <c r="F77" s="25" t="s">
        <v>123</v>
      </c>
      <c r="G77" s="25" t="s">
        <v>92</v>
      </c>
      <c r="H77" s="24" t="s">
        <v>71</v>
      </c>
      <c r="I77" s="25" t="n">
        <v>5</v>
      </c>
      <c r="J77" s="25" t="s">
        <v>178</v>
      </c>
      <c r="K77" s="26" t="s">
        <v>16</v>
      </c>
      <c r="L77" s="27"/>
    </row>
    <row r="78" customFormat="false" ht="35.05" hidden="false" customHeight="false" outlineLevel="0" collapsed="false">
      <c r="A78" s="23" t="s">
        <v>400</v>
      </c>
      <c r="B78" s="24" t="s">
        <v>56</v>
      </c>
      <c r="C78" s="24" t="s">
        <v>401</v>
      </c>
      <c r="D78" s="24" t="s">
        <v>402</v>
      </c>
      <c r="E78" s="24" t="s">
        <v>403</v>
      </c>
      <c r="F78" s="25" t="s">
        <v>123</v>
      </c>
      <c r="G78" s="25" t="s">
        <v>92</v>
      </c>
      <c r="H78" s="24" t="s">
        <v>71</v>
      </c>
      <c r="I78" s="25" t="n">
        <v>5</v>
      </c>
      <c r="J78" s="25" t="s">
        <v>396</v>
      </c>
      <c r="K78" s="26" t="s">
        <v>16</v>
      </c>
      <c r="L78" s="27"/>
    </row>
    <row r="79" customFormat="false" ht="23.85" hidden="false" customHeight="false" outlineLevel="0" collapsed="false">
      <c r="A79" s="23" t="s">
        <v>404</v>
      </c>
      <c r="B79" s="24" t="s">
        <v>56</v>
      </c>
      <c r="C79" s="24" t="s">
        <v>405</v>
      </c>
      <c r="D79" s="24" t="s">
        <v>406</v>
      </c>
      <c r="E79" s="24" t="s">
        <v>407</v>
      </c>
      <c r="F79" s="25" t="s">
        <v>123</v>
      </c>
      <c r="G79" s="25" t="s">
        <v>92</v>
      </c>
      <c r="H79" s="24" t="s">
        <v>71</v>
      </c>
      <c r="I79" s="25" t="n">
        <v>3</v>
      </c>
      <c r="J79" s="25" t="s">
        <v>396</v>
      </c>
      <c r="K79" s="26" t="s">
        <v>16</v>
      </c>
      <c r="L79" s="27"/>
    </row>
    <row r="80" customFormat="false" ht="23.85" hidden="false" customHeight="false" outlineLevel="0" collapsed="false">
      <c r="A80" s="23" t="s">
        <v>408</v>
      </c>
      <c r="B80" s="24" t="s">
        <v>56</v>
      </c>
      <c r="C80" s="24" t="s">
        <v>409</v>
      </c>
      <c r="D80" s="24" t="s">
        <v>410</v>
      </c>
      <c r="E80" s="24" t="s">
        <v>411</v>
      </c>
      <c r="F80" s="25" t="s">
        <v>123</v>
      </c>
      <c r="G80" s="25" t="s">
        <v>92</v>
      </c>
      <c r="H80" s="24" t="s">
        <v>71</v>
      </c>
      <c r="I80" s="25" t="n">
        <v>3</v>
      </c>
      <c r="J80" s="25" t="s">
        <v>396</v>
      </c>
      <c r="K80" s="26" t="s">
        <v>16</v>
      </c>
      <c r="L80" s="27"/>
    </row>
    <row r="81" customFormat="false" ht="23.85" hidden="false" customHeight="false" outlineLevel="0" collapsed="false">
      <c r="A81" s="23" t="s">
        <v>412</v>
      </c>
      <c r="B81" s="24" t="s">
        <v>56</v>
      </c>
      <c r="C81" s="24" t="s">
        <v>413</v>
      </c>
      <c r="D81" s="24" t="s">
        <v>414</v>
      </c>
      <c r="E81" s="24" t="s">
        <v>415</v>
      </c>
      <c r="F81" s="25" t="s">
        <v>123</v>
      </c>
      <c r="G81" s="25" t="s">
        <v>92</v>
      </c>
      <c r="H81" s="24" t="s">
        <v>71</v>
      </c>
      <c r="I81" s="25" t="n">
        <v>5</v>
      </c>
      <c r="J81" s="25" t="s">
        <v>365</v>
      </c>
      <c r="K81" s="26" t="s">
        <v>16</v>
      </c>
      <c r="L81" s="27"/>
    </row>
    <row r="82" customFormat="false" ht="23.85" hidden="false" customHeight="false" outlineLevel="0" collapsed="false">
      <c r="A82" s="23" t="s">
        <v>416</v>
      </c>
      <c r="B82" s="24" t="s">
        <v>56</v>
      </c>
      <c r="C82" s="24" t="s">
        <v>417</v>
      </c>
      <c r="D82" s="24" t="s">
        <v>418</v>
      </c>
      <c r="E82" s="24" t="s">
        <v>419</v>
      </c>
      <c r="F82" s="25" t="s">
        <v>123</v>
      </c>
      <c r="G82" s="25" t="s">
        <v>92</v>
      </c>
      <c r="H82" s="24" t="s">
        <v>71</v>
      </c>
      <c r="I82" s="25" t="n">
        <v>4</v>
      </c>
      <c r="J82" s="25" t="s">
        <v>420</v>
      </c>
      <c r="K82" s="26" t="s">
        <v>16</v>
      </c>
      <c r="L82" s="27"/>
    </row>
    <row r="83" customFormat="false" ht="23.85" hidden="false" customHeight="false" outlineLevel="0" collapsed="false">
      <c r="A83" s="23" t="s">
        <v>421</v>
      </c>
      <c r="B83" s="24" t="s">
        <v>56</v>
      </c>
      <c r="C83" s="24" t="s">
        <v>422</v>
      </c>
      <c r="D83" s="24" t="s">
        <v>423</v>
      </c>
      <c r="E83" s="24" t="s">
        <v>424</v>
      </c>
      <c r="F83" s="25" t="s">
        <v>123</v>
      </c>
      <c r="G83" s="25" t="s">
        <v>92</v>
      </c>
      <c r="H83" s="24" t="s">
        <v>71</v>
      </c>
      <c r="I83" s="25" t="n">
        <v>4</v>
      </c>
      <c r="J83" s="25" t="s">
        <v>416</v>
      </c>
      <c r="K83" s="26" t="s">
        <v>16</v>
      </c>
      <c r="L83" s="27"/>
    </row>
    <row r="84" customFormat="false" ht="23.85" hidden="false" customHeight="false" outlineLevel="0" collapsed="false">
      <c r="A84" s="23" t="s">
        <v>425</v>
      </c>
      <c r="B84" s="24" t="s">
        <v>56</v>
      </c>
      <c r="C84" s="24" t="s">
        <v>426</v>
      </c>
      <c r="D84" s="24" t="s">
        <v>427</v>
      </c>
      <c r="E84" s="24" t="s">
        <v>428</v>
      </c>
      <c r="F84" s="25" t="s">
        <v>123</v>
      </c>
      <c r="G84" s="25" t="s">
        <v>145</v>
      </c>
      <c r="H84" s="24" t="s">
        <v>72</v>
      </c>
      <c r="I84" s="25" t="n">
        <v>5</v>
      </c>
      <c r="J84" s="25" t="s">
        <v>412</v>
      </c>
      <c r="K84" s="26" t="s">
        <v>16</v>
      </c>
      <c r="L84" s="27"/>
    </row>
    <row r="85" customFormat="false" ht="15" hidden="false" customHeight="false" outlineLevel="0" collapsed="false">
      <c r="A85" s="23" t="s">
        <v>429</v>
      </c>
      <c r="B85" s="24" t="s">
        <v>56</v>
      </c>
      <c r="C85" s="24" t="s">
        <v>430</v>
      </c>
      <c r="D85" s="24" t="s">
        <v>431</v>
      </c>
      <c r="E85" s="24" t="s">
        <v>432</v>
      </c>
      <c r="F85" s="25" t="s">
        <v>123</v>
      </c>
      <c r="G85" s="25" t="s">
        <v>145</v>
      </c>
      <c r="H85" s="24" t="s">
        <v>72</v>
      </c>
      <c r="I85" s="25" t="n">
        <v>3</v>
      </c>
      <c r="J85" s="25" t="s">
        <v>246</v>
      </c>
      <c r="K85" s="26" t="s">
        <v>16</v>
      </c>
      <c r="L85" s="27"/>
    </row>
    <row r="86" customFormat="false" ht="15" hidden="false" customHeight="false" outlineLevel="0" collapsed="false">
      <c r="A86" s="23" t="s">
        <v>433</v>
      </c>
      <c r="B86" s="24" t="s">
        <v>56</v>
      </c>
      <c r="C86" s="24" t="s">
        <v>434</v>
      </c>
      <c r="D86" s="24" t="s">
        <v>435</v>
      </c>
      <c r="E86" s="24" t="s">
        <v>436</v>
      </c>
      <c r="F86" s="25" t="s">
        <v>123</v>
      </c>
      <c r="G86" s="25" t="s">
        <v>145</v>
      </c>
      <c r="H86" s="24" t="s">
        <v>72</v>
      </c>
      <c r="I86" s="25" t="n">
        <v>3</v>
      </c>
      <c r="J86" s="25" t="s">
        <v>162</v>
      </c>
      <c r="K86" s="26" t="s">
        <v>16</v>
      </c>
      <c r="L86" s="27"/>
    </row>
    <row r="87" customFormat="false" ht="23.85" hidden="false" customHeight="false" outlineLevel="0" collapsed="false">
      <c r="A87" s="23" t="s">
        <v>437</v>
      </c>
      <c r="B87" s="24" t="s">
        <v>56</v>
      </c>
      <c r="C87" s="24" t="s">
        <v>438</v>
      </c>
      <c r="D87" s="24" t="s">
        <v>439</v>
      </c>
      <c r="E87" s="24" t="s">
        <v>440</v>
      </c>
      <c r="F87" s="25" t="s">
        <v>123</v>
      </c>
      <c r="G87" s="25" t="s">
        <v>145</v>
      </c>
      <c r="H87" s="24" t="s">
        <v>72</v>
      </c>
      <c r="I87" s="25" t="n">
        <v>10</v>
      </c>
      <c r="J87" s="25" t="s">
        <v>182</v>
      </c>
      <c r="K87" s="26" t="s">
        <v>16</v>
      </c>
      <c r="L87" s="27"/>
    </row>
    <row r="88" customFormat="false" ht="23.85" hidden="false" customHeight="false" outlineLevel="0" collapsed="false">
      <c r="A88" s="23" t="s">
        <v>441</v>
      </c>
      <c r="B88" s="24" t="s">
        <v>56</v>
      </c>
      <c r="C88" s="24" t="s">
        <v>442</v>
      </c>
      <c r="D88" s="24" t="s">
        <v>443</v>
      </c>
      <c r="E88" s="24" t="s">
        <v>444</v>
      </c>
      <c r="F88" s="25" t="s">
        <v>123</v>
      </c>
      <c r="G88" s="25" t="s">
        <v>145</v>
      </c>
      <c r="H88" s="24" t="s">
        <v>72</v>
      </c>
      <c r="I88" s="25" t="n">
        <v>8</v>
      </c>
      <c r="J88" s="25" t="s">
        <v>396</v>
      </c>
      <c r="K88" s="26" t="s">
        <v>16</v>
      </c>
      <c r="L88" s="27"/>
    </row>
    <row r="89" customFormat="false" ht="23.85" hidden="false" customHeight="false" outlineLevel="0" collapsed="false">
      <c r="A89" s="23" t="s">
        <v>445</v>
      </c>
      <c r="B89" s="24" t="s">
        <v>57</v>
      </c>
      <c r="C89" s="24" t="s">
        <v>446</v>
      </c>
      <c r="D89" s="24" t="s">
        <v>447</v>
      </c>
      <c r="E89" s="24" t="s">
        <v>448</v>
      </c>
      <c r="F89" s="25" t="s">
        <v>123</v>
      </c>
      <c r="G89" s="25" t="s">
        <v>92</v>
      </c>
      <c r="H89" s="24" t="s">
        <v>71</v>
      </c>
      <c r="I89" s="25" t="n">
        <v>4</v>
      </c>
      <c r="J89" s="25" t="s">
        <v>211</v>
      </c>
      <c r="K89" s="26" t="s">
        <v>16</v>
      </c>
      <c r="L89" s="27"/>
    </row>
    <row r="90" customFormat="false" ht="15" hidden="false" customHeight="false" outlineLevel="0" collapsed="false">
      <c r="A90" s="23" t="s">
        <v>449</v>
      </c>
      <c r="B90" s="24" t="s">
        <v>57</v>
      </c>
      <c r="C90" s="24" t="s">
        <v>450</v>
      </c>
      <c r="D90" s="24" t="s">
        <v>451</v>
      </c>
      <c r="E90" s="24" t="s">
        <v>452</v>
      </c>
      <c r="F90" s="25" t="s">
        <v>123</v>
      </c>
      <c r="G90" s="25" t="s">
        <v>92</v>
      </c>
      <c r="H90" s="24" t="s">
        <v>71</v>
      </c>
      <c r="I90" s="25" t="n">
        <v>2</v>
      </c>
      <c r="J90" s="25" t="s">
        <v>445</v>
      </c>
      <c r="K90" s="26" t="s">
        <v>16</v>
      </c>
      <c r="L90" s="27"/>
    </row>
    <row r="91" customFormat="false" ht="15" hidden="false" customHeight="false" outlineLevel="0" collapsed="false">
      <c r="A91" s="23" t="s">
        <v>453</v>
      </c>
      <c r="B91" s="24" t="s">
        <v>57</v>
      </c>
      <c r="C91" s="24" t="s">
        <v>454</v>
      </c>
      <c r="D91" s="24" t="s">
        <v>455</v>
      </c>
      <c r="E91" s="24" t="s">
        <v>456</v>
      </c>
      <c r="F91" s="25" t="s">
        <v>123</v>
      </c>
      <c r="G91" s="25" t="s">
        <v>145</v>
      </c>
      <c r="H91" s="24" t="s">
        <v>72</v>
      </c>
      <c r="I91" s="25" t="n">
        <v>3</v>
      </c>
      <c r="J91" s="25" t="s">
        <v>445</v>
      </c>
      <c r="K91" s="26" t="s">
        <v>16</v>
      </c>
      <c r="L91" s="27"/>
    </row>
    <row r="92" customFormat="false" ht="15" hidden="false" customHeight="false" outlineLevel="0" collapsed="false">
      <c r="A92" s="23" t="s">
        <v>457</v>
      </c>
      <c r="B92" s="24" t="s">
        <v>57</v>
      </c>
      <c r="C92" s="24" t="s">
        <v>458</v>
      </c>
      <c r="D92" s="24" t="s">
        <v>459</v>
      </c>
      <c r="E92" s="24" t="s">
        <v>460</v>
      </c>
      <c r="F92" s="25" t="s">
        <v>123</v>
      </c>
      <c r="G92" s="25" t="s">
        <v>145</v>
      </c>
      <c r="H92" s="24" t="s">
        <v>72</v>
      </c>
      <c r="I92" s="25" t="n">
        <v>2</v>
      </c>
      <c r="J92" s="25" t="s">
        <v>445</v>
      </c>
      <c r="K92" s="26" t="s">
        <v>16</v>
      </c>
      <c r="L92" s="27"/>
    </row>
    <row r="93" customFormat="false" ht="15" hidden="false" customHeight="false" outlineLevel="0" collapsed="false">
      <c r="A93" s="23" t="s">
        <v>461</v>
      </c>
      <c r="B93" s="24" t="s">
        <v>57</v>
      </c>
      <c r="C93" s="24" t="s">
        <v>462</v>
      </c>
      <c r="D93" s="24" t="s">
        <v>463</v>
      </c>
      <c r="E93" s="24" t="s">
        <v>464</v>
      </c>
      <c r="F93" s="25" t="s">
        <v>123</v>
      </c>
      <c r="G93" s="25" t="s">
        <v>145</v>
      </c>
      <c r="H93" s="24" t="s">
        <v>72</v>
      </c>
      <c r="I93" s="25" t="n">
        <v>1</v>
      </c>
      <c r="J93" s="25" t="s">
        <v>445</v>
      </c>
      <c r="K93" s="26" t="s">
        <v>16</v>
      </c>
      <c r="L93" s="27"/>
    </row>
    <row r="94" customFormat="false" ht="23.85" hidden="false" customHeight="false" outlineLevel="0" collapsed="false">
      <c r="A94" s="23" t="s">
        <v>465</v>
      </c>
      <c r="B94" s="24" t="s">
        <v>57</v>
      </c>
      <c r="C94" s="24" t="s">
        <v>466</v>
      </c>
      <c r="D94" s="24" t="s">
        <v>467</v>
      </c>
      <c r="E94" s="24" t="s">
        <v>468</v>
      </c>
      <c r="F94" s="25" t="s">
        <v>123</v>
      </c>
      <c r="G94" s="25" t="s">
        <v>145</v>
      </c>
      <c r="H94" s="24" t="s">
        <v>72</v>
      </c>
      <c r="I94" s="25" t="n">
        <v>3</v>
      </c>
      <c r="J94" s="25" t="s">
        <v>216</v>
      </c>
      <c r="K94" s="26" t="s">
        <v>16</v>
      </c>
      <c r="L94" s="27"/>
    </row>
    <row r="95" customFormat="false" ht="23.85" hidden="false" customHeight="false" outlineLevel="0" collapsed="false">
      <c r="A95" s="23" t="s">
        <v>469</v>
      </c>
      <c r="B95" s="24" t="s">
        <v>58</v>
      </c>
      <c r="C95" s="24" t="s">
        <v>470</v>
      </c>
      <c r="D95" s="24" t="s">
        <v>471</v>
      </c>
      <c r="E95" s="24" t="s">
        <v>472</v>
      </c>
      <c r="F95" s="25" t="s">
        <v>123</v>
      </c>
      <c r="G95" s="25" t="s">
        <v>92</v>
      </c>
      <c r="H95" s="24" t="s">
        <v>71</v>
      </c>
      <c r="I95" s="25" t="n">
        <v>4</v>
      </c>
      <c r="J95" s="25" t="s">
        <v>259</v>
      </c>
      <c r="K95" s="26" t="s">
        <v>16</v>
      </c>
      <c r="L95" s="27"/>
    </row>
    <row r="96" customFormat="false" ht="23.85" hidden="false" customHeight="false" outlineLevel="0" collapsed="false">
      <c r="A96" s="23" t="s">
        <v>473</v>
      </c>
      <c r="B96" s="24" t="s">
        <v>58</v>
      </c>
      <c r="C96" s="24" t="s">
        <v>474</v>
      </c>
      <c r="D96" s="24" t="s">
        <v>475</v>
      </c>
      <c r="E96" s="24" t="s">
        <v>476</v>
      </c>
      <c r="F96" s="25" t="s">
        <v>91</v>
      </c>
      <c r="G96" s="25" t="s">
        <v>92</v>
      </c>
      <c r="H96" s="24" t="s">
        <v>71</v>
      </c>
      <c r="I96" s="25" t="n">
        <v>2</v>
      </c>
      <c r="J96" s="25" t="s">
        <v>93</v>
      </c>
      <c r="K96" s="26" t="s">
        <v>16</v>
      </c>
      <c r="L96" s="27"/>
    </row>
    <row r="97" customFormat="false" ht="23.85" hidden="false" customHeight="false" outlineLevel="0" collapsed="false">
      <c r="A97" s="23" t="s">
        <v>477</v>
      </c>
      <c r="B97" s="24" t="s">
        <v>58</v>
      </c>
      <c r="C97" s="24" t="s">
        <v>478</v>
      </c>
      <c r="D97" s="24" t="s">
        <v>479</v>
      </c>
      <c r="E97" s="24" t="s">
        <v>480</v>
      </c>
      <c r="F97" s="25" t="s">
        <v>123</v>
      </c>
      <c r="G97" s="25" t="s">
        <v>145</v>
      </c>
      <c r="H97" s="24" t="s">
        <v>72</v>
      </c>
      <c r="I97" s="25" t="n">
        <v>3</v>
      </c>
      <c r="J97" s="25" t="s">
        <v>216</v>
      </c>
      <c r="K97" s="26" t="s">
        <v>16</v>
      </c>
      <c r="L97" s="27"/>
    </row>
    <row r="98" customFormat="false" ht="15" hidden="false" customHeight="false" outlineLevel="0" collapsed="false">
      <c r="A98" s="23" t="s">
        <v>481</v>
      </c>
      <c r="B98" s="24" t="s">
        <v>58</v>
      </c>
      <c r="C98" s="24" t="s">
        <v>482</v>
      </c>
      <c r="D98" s="24" t="s">
        <v>483</v>
      </c>
      <c r="E98" s="24" t="s">
        <v>484</v>
      </c>
      <c r="F98" s="25" t="s">
        <v>123</v>
      </c>
      <c r="G98" s="25" t="s">
        <v>145</v>
      </c>
      <c r="H98" s="24" t="s">
        <v>72</v>
      </c>
      <c r="I98" s="25" t="n">
        <v>2</v>
      </c>
      <c r="J98" s="25" t="s">
        <v>485</v>
      </c>
      <c r="K98" s="26" t="s">
        <v>16</v>
      </c>
      <c r="L98" s="27"/>
    </row>
    <row r="99" customFormat="false" ht="15" hidden="false" customHeight="false" outlineLevel="0" collapsed="false">
      <c r="A99" s="23" t="s">
        <v>486</v>
      </c>
      <c r="B99" s="24" t="s">
        <v>58</v>
      </c>
      <c r="C99" s="24" t="s">
        <v>487</v>
      </c>
      <c r="D99" s="24" t="s">
        <v>488</v>
      </c>
      <c r="E99" s="24" t="s">
        <v>489</v>
      </c>
      <c r="F99" s="25" t="s">
        <v>123</v>
      </c>
      <c r="G99" s="25" t="s">
        <v>145</v>
      </c>
      <c r="H99" s="24" t="s">
        <v>72</v>
      </c>
      <c r="I99" s="25" t="n">
        <v>4</v>
      </c>
      <c r="J99" s="25" t="s">
        <v>206</v>
      </c>
      <c r="K99" s="26" t="s">
        <v>16</v>
      </c>
      <c r="L99" s="27"/>
    </row>
    <row r="100" customFormat="false" ht="15" hidden="false" customHeight="false" outlineLevel="0" collapsed="false">
      <c r="A100" s="23" t="s">
        <v>490</v>
      </c>
      <c r="B100" s="24" t="s">
        <v>58</v>
      </c>
      <c r="C100" s="24" t="s">
        <v>491</v>
      </c>
      <c r="D100" s="24" t="s">
        <v>492</v>
      </c>
      <c r="E100" s="24" t="s">
        <v>493</v>
      </c>
      <c r="F100" s="25" t="s">
        <v>123</v>
      </c>
      <c r="G100" s="25" t="s">
        <v>145</v>
      </c>
      <c r="H100" s="24" t="s">
        <v>72</v>
      </c>
      <c r="I100" s="25" t="n">
        <v>4</v>
      </c>
      <c r="J100" s="25" t="s">
        <v>469</v>
      </c>
      <c r="K100" s="26" t="s">
        <v>16</v>
      </c>
      <c r="L100" s="27"/>
    </row>
    <row r="101" customFormat="false" ht="23.85" hidden="false" customHeight="false" outlineLevel="0" collapsed="false">
      <c r="A101" s="23" t="s">
        <v>494</v>
      </c>
      <c r="B101" s="24" t="s">
        <v>58</v>
      </c>
      <c r="C101" s="24" t="s">
        <v>495</v>
      </c>
      <c r="D101" s="24" t="s">
        <v>496</v>
      </c>
      <c r="E101" s="24" t="s">
        <v>497</v>
      </c>
      <c r="F101" s="25" t="s">
        <v>123</v>
      </c>
      <c r="G101" s="25" t="s">
        <v>145</v>
      </c>
      <c r="H101" s="24" t="s">
        <v>72</v>
      </c>
      <c r="I101" s="25" t="n">
        <v>3</v>
      </c>
      <c r="J101" s="25" t="s">
        <v>303</v>
      </c>
      <c r="K101" s="26" t="s">
        <v>16</v>
      </c>
      <c r="L101" s="27"/>
    </row>
    <row r="102" customFormat="false" ht="23.85" hidden="false" customHeight="false" outlineLevel="0" collapsed="false">
      <c r="A102" s="23" t="s">
        <v>498</v>
      </c>
      <c r="B102" s="24" t="s">
        <v>58</v>
      </c>
      <c r="C102" s="24" t="s">
        <v>499</v>
      </c>
      <c r="D102" s="24" t="s">
        <v>500</v>
      </c>
      <c r="E102" s="24" t="s">
        <v>501</v>
      </c>
      <c r="F102" s="25" t="s">
        <v>123</v>
      </c>
      <c r="G102" s="25" t="s">
        <v>145</v>
      </c>
      <c r="H102" s="24" t="s">
        <v>72</v>
      </c>
      <c r="I102" s="25" t="n">
        <v>3</v>
      </c>
      <c r="J102" s="25" t="s">
        <v>485</v>
      </c>
      <c r="K102" s="26" t="s">
        <v>16</v>
      </c>
      <c r="L102" s="27"/>
    </row>
    <row r="103" customFormat="false" ht="23.85" hidden="false" customHeight="false" outlineLevel="0" collapsed="false">
      <c r="A103" s="23" t="s">
        <v>502</v>
      </c>
      <c r="B103" s="24" t="s">
        <v>58</v>
      </c>
      <c r="C103" s="24" t="s">
        <v>503</v>
      </c>
      <c r="D103" s="24" t="s">
        <v>504</v>
      </c>
      <c r="E103" s="24" t="s">
        <v>505</v>
      </c>
      <c r="F103" s="25" t="s">
        <v>123</v>
      </c>
      <c r="G103" s="25" t="s">
        <v>145</v>
      </c>
      <c r="H103" s="24" t="s">
        <v>72</v>
      </c>
      <c r="I103" s="25" t="n">
        <v>5</v>
      </c>
      <c r="J103" s="25" t="s">
        <v>485</v>
      </c>
      <c r="K103" s="26" t="s">
        <v>16</v>
      </c>
      <c r="L103" s="27"/>
    </row>
    <row r="104" customFormat="false" ht="15" hidden="false" customHeight="false" outlineLevel="0" collapsed="false">
      <c r="A104" s="23" t="s">
        <v>506</v>
      </c>
      <c r="B104" s="24" t="s">
        <v>58</v>
      </c>
      <c r="C104" s="24" t="s">
        <v>507</v>
      </c>
      <c r="D104" s="24" t="s">
        <v>508</v>
      </c>
      <c r="E104" s="24" t="s">
        <v>509</v>
      </c>
      <c r="F104" s="25" t="s">
        <v>123</v>
      </c>
      <c r="G104" s="25" t="s">
        <v>145</v>
      </c>
      <c r="H104" s="24" t="s">
        <v>72</v>
      </c>
      <c r="I104" s="25" t="n">
        <v>3</v>
      </c>
      <c r="J104" s="25" t="s">
        <v>206</v>
      </c>
      <c r="K104" s="26" t="s">
        <v>16</v>
      </c>
      <c r="L104" s="27"/>
    </row>
    <row r="105" customFormat="false" ht="23.85" hidden="false" customHeight="false" outlineLevel="0" collapsed="false">
      <c r="A105" s="23" t="s">
        <v>510</v>
      </c>
      <c r="B105" s="24" t="s">
        <v>58</v>
      </c>
      <c r="C105" s="24" t="s">
        <v>511</v>
      </c>
      <c r="D105" s="24" t="s">
        <v>512</v>
      </c>
      <c r="E105" s="24" t="s">
        <v>513</v>
      </c>
      <c r="F105" s="25" t="s">
        <v>123</v>
      </c>
      <c r="G105" s="25" t="s">
        <v>221</v>
      </c>
      <c r="H105" s="24" t="s">
        <v>73</v>
      </c>
      <c r="I105" s="25" t="n">
        <v>6</v>
      </c>
      <c r="J105" s="25" t="s">
        <v>303</v>
      </c>
      <c r="K105" s="26" t="s">
        <v>16</v>
      </c>
      <c r="L105" s="27"/>
    </row>
    <row r="106" customFormat="false" ht="23.85" hidden="false" customHeight="false" outlineLevel="0" collapsed="false">
      <c r="A106" s="23" t="s">
        <v>514</v>
      </c>
      <c r="B106" s="24" t="s">
        <v>58</v>
      </c>
      <c r="C106" s="24" t="s">
        <v>515</v>
      </c>
      <c r="D106" s="24" t="s">
        <v>516</v>
      </c>
      <c r="E106" s="24" t="s">
        <v>517</v>
      </c>
      <c r="F106" s="25" t="s">
        <v>123</v>
      </c>
      <c r="G106" s="25" t="s">
        <v>221</v>
      </c>
      <c r="H106" s="24" t="s">
        <v>73</v>
      </c>
      <c r="I106" s="25" t="n">
        <v>8</v>
      </c>
      <c r="J106" s="25" t="s">
        <v>211</v>
      </c>
      <c r="K106" s="26" t="s">
        <v>16</v>
      </c>
      <c r="L106" s="27"/>
    </row>
    <row r="107" customFormat="false" ht="23.85" hidden="false" customHeight="false" outlineLevel="0" collapsed="false">
      <c r="A107" s="23" t="s">
        <v>485</v>
      </c>
      <c r="B107" s="24" t="s">
        <v>59</v>
      </c>
      <c r="C107" s="24" t="s">
        <v>518</v>
      </c>
      <c r="D107" s="24" t="s">
        <v>519</v>
      </c>
      <c r="E107" s="24" t="s">
        <v>520</v>
      </c>
      <c r="F107" s="25" t="s">
        <v>91</v>
      </c>
      <c r="G107" s="25" t="s">
        <v>92</v>
      </c>
      <c r="H107" s="24" t="s">
        <v>71</v>
      </c>
      <c r="I107" s="25" t="n">
        <v>5</v>
      </c>
      <c r="J107" s="25" t="s">
        <v>124</v>
      </c>
      <c r="K107" s="26" t="s">
        <v>16</v>
      </c>
      <c r="L107" s="27"/>
    </row>
    <row r="108" customFormat="false" ht="23.85" hidden="false" customHeight="false" outlineLevel="0" collapsed="false">
      <c r="A108" s="23" t="s">
        <v>521</v>
      </c>
      <c r="B108" s="24" t="s">
        <v>59</v>
      </c>
      <c r="C108" s="24" t="s">
        <v>522</v>
      </c>
      <c r="D108" s="24" t="s">
        <v>523</v>
      </c>
      <c r="E108" s="24" t="s">
        <v>524</v>
      </c>
      <c r="F108" s="25" t="s">
        <v>123</v>
      </c>
      <c r="G108" s="25" t="s">
        <v>92</v>
      </c>
      <c r="H108" s="24" t="s">
        <v>71</v>
      </c>
      <c r="I108" s="25" t="n">
        <v>3</v>
      </c>
      <c r="J108" s="25" t="s">
        <v>485</v>
      </c>
      <c r="K108" s="26" t="s">
        <v>16</v>
      </c>
      <c r="L108" s="27"/>
    </row>
    <row r="109" customFormat="false" ht="15" hidden="false" customHeight="false" outlineLevel="0" collapsed="false">
      <c r="A109" s="23" t="s">
        <v>525</v>
      </c>
      <c r="B109" s="24" t="s">
        <v>59</v>
      </c>
      <c r="C109" s="24" t="s">
        <v>526</v>
      </c>
      <c r="D109" s="24" t="s">
        <v>527</v>
      </c>
      <c r="E109" s="24" t="s">
        <v>528</v>
      </c>
      <c r="F109" s="25" t="s">
        <v>123</v>
      </c>
      <c r="G109" s="25" t="s">
        <v>92</v>
      </c>
      <c r="H109" s="24" t="s">
        <v>71</v>
      </c>
      <c r="I109" s="25" t="n">
        <v>2</v>
      </c>
      <c r="J109" s="25" t="s">
        <v>485</v>
      </c>
      <c r="K109" s="26" t="s">
        <v>16</v>
      </c>
      <c r="L109" s="27"/>
    </row>
    <row r="110" customFormat="false" ht="15" hidden="false" customHeight="false" outlineLevel="0" collapsed="false">
      <c r="A110" s="23" t="s">
        <v>529</v>
      </c>
      <c r="B110" s="24" t="s">
        <v>59</v>
      </c>
      <c r="C110" s="24" t="s">
        <v>530</v>
      </c>
      <c r="D110" s="24" t="s">
        <v>531</v>
      </c>
      <c r="E110" s="24" t="s">
        <v>532</v>
      </c>
      <c r="F110" s="25" t="s">
        <v>123</v>
      </c>
      <c r="G110" s="25" t="s">
        <v>145</v>
      </c>
      <c r="H110" s="24" t="s">
        <v>72</v>
      </c>
      <c r="I110" s="25" t="n">
        <v>2</v>
      </c>
      <c r="J110" s="25" t="s">
        <v>485</v>
      </c>
      <c r="K110" s="26" t="s">
        <v>16</v>
      </c>
      <c r="L110" s="27"/>
    </row>
    <row r="111" customFormat="false" ht="15" hidden="false" customHeight="false" outlineLevel="0" collapsed="false">
      <c r="A111" s="23" t="s">
        <v>533</v>
      </c>
      <c r="B111" s="24" t="s">
        <v>59</v>
      </c>
      <c r="C111" s="24" t="s">
        <v>534</v>
      </c>
      <c r="D111" s="24" t="s">
        <v>535</v>
      </c>
      <c r="E111" s="24" t="s">
        <v>536</v>
      </c>
      <c r="F111" s="25" t="s">
        <v>149</v>
      </c>
      <c r="G111" s="25" t="s">
        <v>145</v>
      </c>
      <c r="H111" s="24" t="s">
        <v>72</v>
      </c>
      <c r="I111" s="25" t="n">
        <v>4</v>
      </c>
      <c r="J111" s="25" t="s">
        <v>485</v>
      </c>
      <c r="K111" s="26" t="s">
        <v>16</v>
      </c>
      <c r="L111" s="27"/>
    </row>
    <row r="112" customFormat="false" ht="23.85" hidden="false" customHeight="false" outlineLevel="0" collapsed="false">
      <c r="A112" s="23" t="s">
        <v>537</v>
      </c>
      <c r="B112" s="24" t="s">
        <v>60</v>
      </c>
      <c r="C112" s="24" t="s">
        <v>538</v>
      </c>
      <c r="D112" s="24" t="s">
        <v>539</v>
      </c>
      <c r="E112" s="24" t="s">
        <v>540</v>
      </c>
      <c r="F112" s="25" t="s">
        <v>123</v>
      </c>
      <c r="G112" s="25" t="s">
        <v>92</v>
      </c>
      <c r="H112" s="24" t="s">
        <v>71</v>
      </c>
      <c r="I112" s="25" t="n">
        <v>3</v>
      </c>
      <c r="J112" s="25" t="s">
        <v>206</v>
      </c>
      <c r="K112" s="26" t="s">
        <v>16</v>
      </c>
      <c r="L112" s="27"/>
    </row>
    <row r="113" customFormat="false" ht="35.05" hidden="false" customHeight="false" outlineLevel="0" collapsed="false">
      <c r="A113" s="23" t="s">
        <v>541</v>
      </c>
      <c r="B113" s="24" t="s">
        <v>60</v>
      </c>
      <c r="C113" s="24" t="s">
        <v>542</v>
      </c>
      <c r="D113" s="24" t="s">
        <v>543</v>
      </c>
      <c r="E113" s="24" t="s">
        <v>544</v>
      </c>
      <c r="F113" s="25" t="s">
        <v>123</v>
      </c>
      <c r="G113" s="25" t="s">
        <v>92</v>
      </c>
      <c r="H113" s="24" t="s">
        <v>71</v>
      </c>
      <c r="I113" s="25" t="n">
        <v>6</v>
      </c>
      <c r="J113" s="25" t="s">
        <v>369</v>
      </c>
      <c r="K113" s="26" t="s">
        <v>16</v>
      </c>
      <c r="L113" s="27"/>
    </row>
    <row r="114" customFormat="false" ht="15" hidden="false" customHeight="false" outlineLevel="0" collapsed="false">
      <c r="A114" s="23" t="s">
        <v>545</v>
      </c>
      <c r="B114" s="24" t="s">
        <v>60</v>
      </c>
      <c r="C114" s="24" t="s">
        <v>546</v>
      </c>
      <c r="D114" s="24" t="s">
        <v>547</v>
      </c>
      <c r="E114" s="24" t="s">
        <v>548</v>
      </c>
      <c r="F114" s="25" t="s">
        <v>123</v>
      </c>
      <c r="G114" s="25" t="s">
        <v>145</v>
      </c>
      <c r="H114" s="24" t="s">
        <v>72</v>
      </c>
      <c r="I114" s="25" t="n">
        <v>3</v>
      </c>
      <c r="J114" s="25" t="s">
        <v>541</v>
      </c>
      <c r="K114" s="26" t="s">
        <v>16</v>
      </c>
      <c r="L114" s="27"/>
    </row>
    <row r="115" customFormat="false" ht="15" hidden="false" customHeight="false" outlineLevel="0" collapsed="false">
      <c r="A115" s="23" t="s">
        <v>549</v>
      </c>
      <c r="B115" s="24" t="s">
        <v>60</v>
      </c>
      <c r="C115" s="24" t="s">
        <v>550</v>
      </c>
      <c r="D115" s="24" t="s">
        <v>551</v>
      </c>
      <c r="E115" s="24" t="s">
        <v>552</v>
      </c>
      <c r="F115" s="25" t="s">
        <v>123</v>
      </c>
      <c r="G115" s="25" t="s">
        <v>145</v>
      </c>
      <c r="H115" s="24" t="s">
        <v>72</v>
      </c>
      <c r="I115" s="25" t="n">
        <v>4</v>
      </c>
      <c r="J115" s="25" t="s">
        <v>365</v>
      </c>
      <c r="K115" s="26" t="s">
        <v>16</v>
      </c>
      <c r="L115" s="27"/>
    </row>
    <row r="116" customFormat="false" ht="23.85" hidden="false" customHeight="false" outlineLevel="0" collapsed="false">
      <c r="A116" s="23" t="s">
        <v>553</v>
      </c>
      <c r="B116" s="24" t="s">
        <v>60</v>
      </c>
      <c r="C116" s="24" t="s">
        <v>554</v>
      </c>
      <c r="D116" s="24" t="s">
        <v>555</v>
      </c>
      <c r="E116" s="24" t="s">
        <v>556</v>
      </c>
      <c r="F116" s="25" t="s">
        <v>123</v>
      </c>
      <c r="G116" s="25" t="s">
        <v>145</v>
      </c>
      <c r="H116" s="24" t="s">
        <v>72</v>
      </c>
      <c r="I116" s="25" t="n">
        <v>8</v>
      </c>
      <c r="J116" s="25" t="s">
        <v>541</v>
      </c>
      <c r="K116" s="26" t="s">
        <v>16</v>
      </c>
      <c r="L116" s="27"/>
    </row>
    <row r="117" customFormat="false" ht="23.85" hidden="false" customHeight="false" outlineLevel="0" collapsed="false">
      <c r="A117" s="23" t="s">
        <v>557</v>
      </c>
      <c r="B117" s="24" t="s">
        <v>61</v>
      </c>
      <c r="C117" s="24" t="s">
        <v>558</v>
      </c>
      <c r="D117" s="24" t="s">
        <v>559</v>
      </c>
      <c r="E117" s="24" t="s">
        <v>560</v>
      </c>
      <c r="F117" s="25" t="s">
        <v>123</v>
      </c>
      <c r="G117" s="25" t="s">
        <v>92</v>
      </c>
      <c r="H117" s="24" t="s">
        <v>71</v>
      </c>
      <c r="I117" s="25" t="n">
        <v>4</v>
      </c>
      <c r="J117" s="25" t="s">
        <v>211</v>
      </c>
      <c r="K117" s="26" t="s">
        <v>16</v>
      </c>
      <c r="L117" s="27"/>
    </row>
    <row r="118" customFormat="false" ht="15" hidden="false" customHeight="false" outlineLevel="0" collapsed="false">
      <c r="A118" s="23" t="s">
        <v>561</v>
      </c>
      <c r="B118" s="24" t="s">
        <v>61</v>
      </c>
      <c r="C118" s="24" t="s">
        <v>562</v>
      </c>
      <c r="D118" s="24" t="s">
        <v>563</v>
      </c>
      <c r="E118" s="24" t="s">
        <v>564</v>
      </c>
      <c r="F118" s="25" t="s">
        <v>123</v>
      </c>
      <c r="G118" s="25" t="s">
        <v>92</v>
      </c>
      <c r="H118" s="24" t="s">
        <v>71</v>
      </c>
      <c r="I118" s="25" t="n">
        <v>3</v>
      </c>
      <c r="J118" s="25" t="s">
        <v>162</v>
      </c>
      <c r="K118" s="26" t="s">
        <v>16</v>
      </c>
      <c r="L118" s="27"/>
    </row>
    <row r="119" customFormat="false" ht="15" hidden="false" customHeight="false" outlineLevel="0" collapsed="false">
      <c r="A119" s="23" t="s">
        <v>565</v>
      </c>
      <c r="B119" s="24" t="s">
        <v>61</v>
      </c>
      <c r="C119" s="24" t="s">
        <v>566</v>
      </c>
      <c r="D119" s="24" t="s">
        <v>567</v>
      </c>
      <c r="E119" s="24" t="s">
        <v>568</v>
      </c>
      <c r="F119" s="25" t="s">
        <v>123</v>
      </c>
      <c r="G119" s="25" t="s">
        <v>92</v>
      </c>
      <c r="H119" s="24" t="s">
        <v>71</v>
      </c>
      <c r="I119" s="25" t="n">
        <v>3</v>
      </c>
      <c r="J119" s="25" t="s">
        <v>392</v>
      </c>
      <c r="K119" s="26" t="s">
        <v>16</v>
      </c>
      <c r="L119" s="27"/>
    </row>
    <row r="120" customFormat="false" ht="15" hidden="false" customHeight="false" outlineLevel="0" collapsed="false">
      <c r="A120" s="23" t="s">
        <v>569</v>
      </c>
      <c r="B120" s="24" t="s">
        <v>61</v>
      </c>
      <c r="C120" s="24" t="s">
        <v>570</v>
      </c>
      <c r="D120" s="24" t="s">
        <v>571</v>
      </c>
      <c r="E120" s="24" t="s">
        <v>572</v>
      </c>
      <c r="F120" s="25" t="s">
        <v>123</v>
      </c>
      <c r="G120" s="25" t="s">
        <v>92</v>
      </c>
      <c r="H120" s="24" t="s">
        <v>71</v>
      </c>
      <c r="I120" s="25" t="n">
        <v>4</v>
      </c>
      <c r="J120" s="25" t="s">
        <v>404</v>
      </c>
      <c r="K120" s="26" t="s">
        <v>16</v>
      </c>
      <c r="L120" s="27"/>
    </row>
    <row r="121" customFormat="false" ht="15" hidden="false" customHeight="false" outlineLevel="0" collapsed="false">
      <c r="A121" s="23" t="s">
        <v>573</v>
      </c>
      <c r="B121" s="24" t="s">
        <v>61</v>
      </c>
      <c r="C121" s="24" t="s">
        <v>574</v>
      </c>
      <c r="D121" s="24" t="s">
        <v>575</v>
      </c>
      <c r="E121" s="24" t="s">
        <v>576</v>
      </c>
      <c r="F121" s="25" t="s">
        <v>123</v>
      </c>
      <c r="G121" s="25" t="s">
        <v>92</v>
      </c>
      <c r="H121" s="24" t="s">
        <v>71</v>
      </c>
      <c r="I121" s="25" t="n">
        <v>4</v>
      </c>
      <c r="J121" s="25" t="s">
        <v>211</v>
      </c>
      <c r="K121" s="26" t="s">
        <v>16</v>
      </c>
      <c r="L121" s="27"/>
    </row>
    <row r="122" customFormat="false" ht="23.85" hidden="false" customHeight="false" outlineLevel="0" collapsed="false">
      <c r="A122" s="23" t="s">
        <v>206</v>
      </c>
      <c r="B122" s="24" t="s">
        <v>61</v>
      </c>
      <c r="C122" s="24" t="s">
        <v>577</v>
      </c>
      <c r="D122" s="24" t="s">
        <v>578</v>
      </c>
      <c r="E122" s="24" t="s">
        <v>579</v>
      </c>
      <c r="F122" s="25" t="s">
        <v>123</v>
      </c>
      <c r="G122" s="25" t="s">
        <v>92</v>
      </c>
      <c r="H122" s="24" t="s">
        <v>71</v>
      </c>
      <c r="I122" s="25" t="n">
        <v>5</v>
      </c>
      <c r="J122" s="25" t="s">
        <v>106</v>
      </c>
      <c r="K122" s="26" t="s">
        <v>16</v>
      </c>
      <c r="L122" s="27"/>
    </row>
    <row r="123" customFormat="false" ht="15" hidden="false" customHeight="false" outlineLevel="0" collapsed="false">
      <c r="A123" s="23" t="s">
        <v>580</v>
      </c>
      <c r="B123" s="24" t="s">
        <v>61</v>
      </c>
      <c r="C123" s="24" t="s">
        <v>581</v>
      </c>
      <c r="D123" s="24" t="s">
        <v>582</v>
      </c>
      <c r="E123" s="24" t="s">
        <v>583</v>
      </c>
      <c r="F123" s="25" t="s">
        <v>123</v>
      </c>
      <c r="G123" s="25" t="s">
        <v>92</v>
      </c>
      <c r="H123" s="24" t="s">
        <v>71</v>
      </c>
      <c r="I123" s="25" t="n">
        <v>2</v>
      </c>
      <c r="J123" s="25" t="s">
        <v>93</v>
      </c>
      <c r="K123" s="26" t="s">
        <v>16</v>
      </c>
      <c r="L123" s="27"/>
    </row>
    <row r="124" customFormat="false" ht="23.85" hidden="false" customHeight="false" outlineLevel="0" collapsed="false">
      <c r="A124" s="23" t="s">
        <v>584</v>
      </c>
      <c r="B124" s="24" t="s">
        <v>61</v>
      </c>
      <c r="C124" s="24" t="s">
        <v>585</v>
      </c>
      <c r="D124" s="24" t="s">
        <v>586</v>
      </c>
      <c r="E124" s="24" t="s">
        <v>587</v>
      </c>
      <c r="F124" s="25" t="s">
        <v>91</v>
      </c>
      <c r="G124" s="25" t="s">
        <v>92</v>
      </c>
      <c r="H124" s="24" t="s">
        <v>71</v>
      </c>
      <c r="I124" s="25" t="n">
        <v>3</v>
      </c>
      <c r="J124" s="25" t="s">
        <v>162</v>
      </c>
      <c r="K124" s="26" t="s">
        <v>16</v>
      </c>
      <c r="L124" s="27"/>
    </row>
    <row r="125" customFormat="false" ht="15" hidden="false" customHeight="false" outlineLevel="0" collapsed="false">
      <c r="A125" s="23" t="s">
        <v>588</v>
      </c>
      <c r="B125" s="24" t="s">
        <v>61</v>
      </c>
      <c r="C125" s="24" t="s">
        <v>589</v>
      </c>
      <c r="D125" s="24" t="s">
        <v>590</v>
      </c>
      <c r="E125" s="24" t="s">
        <v>591</v>
      </c>
      <c r="F125" s="25" t="s">
        <v>123</v>
      </c>
      <c r="G125" s="25" t="s">
        <v>145</v>
      </c>
      <c r="H125" s="24" t="s">
        <v>72</v>
      </c>
      <c r="I125" s="25" t="n">
        <v>5</v>
      </c>
      <c r="J125" s="25" t="s">
        <v>557</v>
      </c>
      <c r="K125" s="26" t="s">
        <v>16</v>
      </c>
      <c r="L125" s="27"/>
    </row>
    <row r="126" customFormat="false" ht="23.85" hidden="false" customHeight="false" outlineLevel="0" collapsed="false">
      <c r="A126" s="23" t="s">
        <v>592</v>
      </c>
      <c r="B126" s="24" t="s">
        <v>62</v>
      </c>
      <c r="C126" s="24" t="s">
        <v>593</v>
      </c>
      <c r="D126" s="24" t="s">
        <v>594</v>
      </c>
      <c r="E126" s="24" t="s">
        <v>595</v>
      </c>
      <c r="F126" s="25" t="s">
        <v>123</v>
      </c>
      <c r="G126" s="25" t="s">
        <v>92</v>
      </c>
      <c r="H126" s="24" t="s">
        <v>71</v>
      </c>
      <c r="I126" s="25" t="n">
        <v>2</v>
      </c>
      <c r="J126" s="25" t="s">
        <v>580</v>
      </c>
      <c r="K126" s="26" t="s">
        <v>16</v>
      </c>
      <c r="L126" s="27"/>
    </row>
    <row r="127" customFormat="false" ht="23.85" hidden="false" customHeight="false" outlineLevel="0" collapsed="false">
      <c r="A127" s="23" t="s">
        <v>596</v>
      </c>
      <c r="B127" s="24" t="s">
        <v>62</v>
      </c>
      <c r="C127" s="24" t="s">
        <v>597</v>
      </c>
      <c r="D127" s="24" t="s">
        <v>598</v>
      </c>
      <c r="E127" s="24" t="s">
        <v>599</v>
      </c>
      <c r="F127" s="25" t="s">
        <v>123</v>
      </c>
      <c r="G127" s="25" t="s">
        <v>92</v>
      </c>
      <c r="H127" s="24" t="s">
        <v>71</v>
      </c>
      <c r="I127" s="25" t="n">
        <v>5</v>
      </c>
      <c r="J127" s="25" t="s">
        <v>592</v>
      </c>
      <c r="K127" s="26" t="s">
        <v>16</v>
      </c>
      <c r="L127" s="27"/>
    </row>
    <row r="128" customFormat="false" ht="15" hidden="false" customHeight="false" outlineLevel="0" collapsed="false">
      <c r="A128" s="23" t="s">
        <v>600</v>
      </c>
      <c r="B128" s="24" t="s">
        <v>62</v>
      </c>
      <c r="C128" s="24" t="s">
        <v>601</v>
      </c>
      <c r="D128" s="24" t="s">
        <v>602</v>
      </c>
      <c r="E128" s="24" t="s">
        <v>603</v>
      </c>
      <c r="F128" s="25" t="s">
        <v>123</v>
      </c>
      <c r="G128" s="25" t="s">
        <v>92</v>
      </c>
      <c r="H128" s="24" t="s">
        <v>71</v>
      </c>
      <c r="I128" s="25" t="n">
        <v>2</v>
      </c>
      <c r="J128" s="25" t="s">
        <v>596</v>
      </c>
      <c r="K128" s="26" t="s">
        <v>16</v>
      </c>
      <c r="L128" s="27"/>
    </row>
    <row r="129" customFormat="false" ht="23.85" hidden="false" customHeight="false" outlineLevel="0" collapsed="false">
      <c r="A129" s="23" t="s">
        <v>420</v>
      </c>
      <c r="B129" s="24" t="s">
        <v>62</v>
      </c>
      <c r="C129" s="24" t="s">
        <v>604</v>
      </c>
      <c r="D129" s="24" t="s">
        <v>605</v>
      </c>
      <c r="E129" s="24" t="s">
        <v>606</v>
      </c>
      <c r="F129" s="25" t="s">
        <v>123</v>
      </c>
      <c r="G129" s="25" t="s">
        <v>92</v>
      </c>
      <c r="H129" s="24" t="s">
        <v>71</v>
      </c>
      <c r="I129" s="25" t="n">
        <v>4</v>
      </c>
      <c r="J129" s="25" t="s">
        <v>565</v>
      </c>
      <c r="K129" s="26" t="s">
        <v>16</v>
      </c>
      <c r="L129" s="27"/>
    </row>
    <row r="130" customFormat="false" ht="15" hidden="false" customHeight="false" outlineLevel="0" collapsed="false">
      <c r="A130" s="23" t="s">
        <v>607</v>
      </c>
      <c r="B130" s="24" t="s">
        <v>62</v>
      </c>
      <c r="C130" s="24" t="s">
        <v>608</v>
      </c>
      <c r="D130" s="24" t="s">
        <v>609</v>
      </c>
      <c r="E130" s="24" t="s">
        <v>610</v>
      </c>
      <c r="F130" s="25" t="s">
        <v>123</v>
      </c>
      <c r="G130" s="25" t="s">
        <v>145</v>
      </c>
      <c r="H130" s="24" t="s">
        <v>72</v>
      </c>
      <c r="I130" s="25" t="n">
        <v>4</v>
      </c>
      <c r="J130" s="25" t="s">
        <v>596</v>
      </c>
      <c r="K130" s="26" t="s">
        <v>16</v>
      </c>
      <c r="L130" s="27"/>
    </row>
    <row r="131" customFormat="false" ht="15" hidden="false" customHeight="false" outlineLevel="0" collapsed="false">
      <c r="A131" s="23" t="s">
        <v>611</v>
      </c>
      <c r="B131" s="24" t="s">
        <v>62</v>
      </c>
      <c r="C131" s="24" t="s">
        <v>612</v>
      </c>
      <c r="D131" s="24" t="s">
        <v>613</v>
      </c>
      <c r="E131" s="24" t="s">
        <v>614</v>
      </c>
      <c r="F131" s="25" t="s">
        <v>149</v>
      </c>
      <c r="G131" s="25" t="s">
        <v>145</v>
      </c>
      <c r="H131" s="24" t="s">
        <v>72</v>
      </c>
      <c r="I131" s="25" t="n">
        <v>8</v>
      </c>
      <c r="J131" s="25" t="s">
        <v>596</v>
      </c>
      <c r="K131" s="26" t="s">
        <v>16</v>
      </c>
      <c r="L131" s="27"/>
    </row>
    <row r="132" customFormat="false" ht="23.85" hidden="false" customHeight="false" outlineLevel="0" collapsed="false">
      <c r="A132" s="23" t="s">
        <v>615</v>
      </c>
      <c r="B132" s="24" t="s">
        <v>63</v>
      </c>
      <c r="C132" s="24" t="s">
        <v>616</v>
      </c>
      <c r="D132" s="24" t="s">
        <v>617</v>
      </c>
      <c r="E132" s="24" t="s">
        <v>618</v>
      </c>
      <c r="F132" s="25" t="s">
        <v>91</v>
      </c>
      <c r="G132" s="25" t="s">
        <v>92</v>
      </c>
      <c r="H132" s="24" t="s">
        <v>71</v>
      </c>
      <c r="I132" s="25" t="n">
        <v>4</v>
      </c>
      <c r="J132" s="25" t="s">
        <v>98</v>
      </c>
      <c r="K132" s="26" t="s">
        <v>16</v>
      </c>
      <c r="L132" s="27"/>
    </row>
    <row r="133" customFormat="false" ht="23.85" hidden="false" customHeight="false" outlineLevel="0" collapsed="false">
      <c r="A133" s="23" t="s">
        <v>619</v>
      </c>
      <c r="B133" s="24" t="s">
        <v>63</v>
      </c>
      <c r="C133" s="24" t="s">
        <v>620</v>
      </c>
      <c r="D133" s="24" t="s">
        <v>621</v>
      </c>
      <c r="E133" s="24" t="s">
        <v>622</v>
      </c>
      <c r="F133" s="25" t="s">
        <v>91</v>
      </c>
      <c r="G133" s="25" t="s">
        <v>92</v>
      </c>
      <c r="H133" s="24" t="s">
        <v>71</v>
      </c>
      <c r="I133" s="25" t="n">
        <v>2</v>
      </c>
      <c r="J133" s="25" t="s">
        <v>98</v>
      </c>
      <c r="K133" s="26" t="s">
        <v>16</v>
      </c>
      <c r="L133" s="27"/>
    </row>
    <row r="134" customFormat="false" ht="23.85" hidden="false" customHeight="false" outlineLevel="0" collapsed="false">
      <c r="A134" s="23" t="s">
        <v>623</v>
      </c>
      <c r="B134" s="24" t="s">
        <v>63</v>
      </c>
      <c r="C134" s="24" t="s">
        <v>624</v>
      </c>
      <c r="D134" s="24" t="s">
        <v>625</v>
      </c>
      <c r="E134" s="24" t="s">
        <v>626</v>
      </c>
      <c r="F134" s="25" t="s">
        <v>123</v>
      </c>
      <c r="G134" s="25" t="s">
        <v>92</v>
      </c>
      <c r="H134" s="24" t="s">
        <v>71</v>
      </c>
      <c r="I134" s="25" t="n">
        <v>2</v>
      </c>
      <c r="J134" s="25" t="s">
        <v>206</v>
      </c>
      <c r="K134" s="26" t="s">
        <v>16</v>
      </c>
      <c r="L134" s="27"/>
    </row>
    <row r="135" customFormat="false" ht="23.85" hidden="false" customHeight="false" outlineLevel="0" collapsed="false">
      <c r="A135" s="23" t="s">
        <v>627</v>
      </c>
      <c r="B135" s="24" t="s">
        <v>63</v>
      </c>
      <c r="C135" s="24" t="s">
        <v>628</v>
      </c>
      <c r="D135" s="24" t="s">
        <v>629</v>
      </c>
      <c r="E135" s="24" t="s">
        <v>630</v>
      </c>
      <c r="F135" s="25" t="s">
        <v>91</v>
      </c>
      <c r="G135" s="25" t="s">
        <v>92</v>
      </c>
      <c r="H135" s="24" t="s">
        <v>71</v>
      </c>
      <c r="I135" s="25" t="n">
        <v>1</v>
      </c>
      <c r="J135" s="25" t="s">
        <v>93</v>
      </c>
      <c r="K135" s="26" t="s">
        <v>16</v>
      </c>
      <c r="L135" s="27"/>
    </row>
    <row r="136" customFormat="false" ht="23.85" hidden="false" customHeight="false" outlineLevel="0" collapsed="false">
      <c r="A136" s="23" t="s">
        <v>631</v>
      </c>
      <c r="B136" s="24" t="s">
        <v>63</v>
      </c>
      <c r="C136" s="24" t="s">
        <v>632</v>
      </c>
      <c r="D136" s="24" t="s">
        <v>633</v>
      </c>
      <c r="E136" s="24" t="s">
        <v>634</v>
      </c>
      <c r="F136" s="25" t="s">
        <v>123</v>
      </c>
      <c r="G136" s="25" t="s">
        <v>145</v>
      </c>
      <c r="H136" s="24" t="s">
        <v>72</v>
      </c>
      <c r="I136" s="25" t="n">
        <v>5</v>
      </c>
      <c r="J136" s="25" t="s">
        <v>338</v>
      </c>
      <c r="K136" s="26" t="s">
        <v>16</v>
      </c>
      <c r="L136" s="27"/>
    </row>
    <row r="137" customFormat="false" ht="15" hidden="false" customHeight="false" outlineLevel="0" collapsed="false">
      <c r="A137" s="23" t="s">
        <v>635</v>
      </c>
      <c r="B137" s="24" t="s">
        <v>63</v>
      </c>
      <c r="C137" s="24" t="s">
        <v>636</v>
      </c>
      <c r="D137" s="24" t="s">
        <v>637</v>
      </c>
      <c r="E137" s="24" t="s">
        <v>638</v>
      </c>
      <c r="F137" s="25" t="s">
        <v>123</v>
      </c>
      <c r="G137" s="25" t="s">
        <v>145</v>
      </c>
      <c r="H137" s="24" t="s">
        <v>72</v>
      </c>
      <c r="I137" s="25" t="n">
        <v>4</v>
      </c>
      <c r="J137" s="25" t="s">
        <v>631</v>
      </c>
      <c r="K137" s="26" t="s">
        <v>16</v>
      </c>
      <c r="L137" s="27"/>
    </row>
    <row r="138" customFormat="false" ht="15" hidden="false" customHeight="false" outlineLevel="0" collapsed="false">
      <c r="A138" s="23" t="s">
        <v>639</v>
      </c>
      <c r="B138" s="24" t="s">
        <v>63</v>
      </c>
      <c r="C138" s="24" t="s">
        <v>640</v>
      </c>
      <c r="D138" s="24" t="s">
        <v>641</v>
      </c>
      <c r="E138" s="24" t="s">
        <v>642</v>
      </c>
      <c r="F138" s="25" t="s">
        <v>123</v>
      </c>
      <c r="G138" s="25" t="s">
        <v>145</v>
      </c>
      <c r="H138" s="24" t="s">
        <v>72</v>
      </c>
      <c r="I138" s="25" t="n">
        <v>3</v>
      </c>
      <c r="J138" s="25" t="s">
        <v>247</v>
      </c>
      <c r="K138" s="26" t="s">
        <v>16</v>
      </c>
      <c r="L138" s="27"/>
    </row>
    <row r="139" customFormat="false" ht="15" hidden="false" customHeight="false" outlineLevel="0" collapsed="false">
      <c r="A139" s="23" t="s">
        <v>643</v>
      </c>
      <c r="B139" s="24" t="s">
        <v>63</v>
      </c>
      <c r="C139" s="24" t="s">
        <v>644</v>
      </c>
      <c r="D139" s="24" t="s">
        <v>645</v>
      </c>
      <c r="E139" s="24" t="s">
        <v>646</v>
      </c>
      <c r="F139" s="25" t="s">
        <v>91</v>
      </c>
      <c r="G139" s="25" t="s">
        <v>92</v>
      </c>
      <c r="H139" s="24" t="s">
        <v>71</v>
      </c>
      <c r="I139" s="25" t="n">
        <v>5</v>
      </c>
      <c r="J139" s="25" t="s">
        <v>615</v>
      </c>
      <c r="K139" s="26" t="s">
        <v>16</v>
      </c>
      <c r="L139" s="27"/>
    </row>
    <row r="140" customFormat="false" ht="23.85" hidden="false" customHeight="false" outlineLevel="0" collapsed="false">
      <c r="A140" s="23" t="s">
        <v>647</v>
      </c>
      <c r="B140" s="24" t="s">
        <v>64</v>
      </c>
      <c r="C140" s="24" t="s">
        <v>648</v>
      </c>
      <c r="D140" s="24" t="s">
        <v>649</v>
      </c>
      <c r="E140" s="24" t="s">
        <v>650</v>
      </c>
      <c r="F140" s="25" t="s">
        <v>123</v>
      </c>
      <c r="G140" s="25" t="s">
        <v>92</v>
      </c>
      <c r="H140" s="24" t="s">
        <v>71</v>
      </c>
      <c r="I140" s="25" t="n">
        <v>4</v>
      </c>
      <c r="J140" s="25" t="s">
        <v>114</v>
      </c>
      <c r="K140" s="26" t="s">
        <v>16</v>
      </c>
      <c r="L140" s="27"/>
    </row>
    <row r="141" customFormat="false" ht="23.85" hidden="false" customHeight="false" outlineLevel="0" collapsed="false">
      <c r="A141" s="23" t="s">
        <v>651</v>
      </c>
      <c r="B141" s="24" t="s">
        <v>64</v>
      </c>
      <c r="C141" s="24" t="s">
        <v>652</v>
      </c>
      <c r="D141" s="24" t="s">
        <v>653</v>
      </c>
      <c r="E141" s="24" t="s">
        <v>654</v>
      </c>
      <c r="F141" s="25" t="s">
        <v>123</v>
      </c>
      <c r="G141" s="25" t="s">
        <v>145</v>
      </c>
      <c r="H141" s="24" t="s">
        <v>72</v>
      </c>
      <c r="I141" s="25" t="n">
        <v>30</v>
      </c>
      <c r="J141" s="25" t="s">
        <v>647</v>
      </c>
      <c r="K141" s="26" t="s">
        <v>16</v>
      </c>
      <c r="L141" s="27"/>
    </row>
    <row r="142" customFormat="false" ht="15" hidden="false" customHeight="false" outlineLevel="0" collapsed="false">
      <c r="A142" s="23" t="s">
        <v>655</v>
      </c>
      <c r="B142" s="24" t="s">
        <v>64</v>
      </c>
      <c r="C142" s="24" t="s">
        <v>656</v>
      </c>
      <c r="D142" s="24" t="s">
        <v>657</v>
      </c>
      <c r="E142" s="24" t="s">
        <v>658</v>
      </c>
      <c r="F142" s="25" t="s">
        <v>123</v>
      </c>
      <c r="G142" s="25" t="s">
        <v>145</v>
      </c>
      <c r="H142" s="24" t="s">
        <v>72</v>
      </c>
      <c r="I142" s="25" t="n">
        <v>10</v>
      </c>
      <c r="J142" s="25" t="s">
        <v>651</v>
      </c>
      <c r="K142" s="26" t="s">
        <v>16</v>
      </c>
      <c r="L142" s="27"/>
    </row>
    <row r="143" customFormat="false" ht="15" hidden="false" customHeight="false" outlineLevel="0" collapsed="false">
      <c r="A143" s="23" t="s">
        <v>659</v>
      </c>
      <c r="B143" s="24" t="s">
        <v>64</v>
      </c>
      <c r="C143" s="24" t="s">
        <v>660</v>
      </c>
      <c r="D143" s="24" t="s">
        <v>661</v>
      </c>
      <c r="E143" s="24" t="s">
        <v>662</v>
      </c>
      <c r="F143" s="25" t="s">
        <v>123</v>
      </c>
      <c r="G143" s="25" t="s">
        <v>145</v>
      </c>
      <c r="H143" s="24" t="s">
        <v>72</v>
      </c>
      <c r="I143" s="25" t="n">
        <v>3</v>
      </c>
      <c r="J143" s="25" t="s">
        <v>651</v>
      </c>
      <c r="K143" s="26" t="s">
        <v>16</v>
      </c>
      <c r="L143" s="27"/>
    </row>
    <row r="144" customFormat="false" ht="15" hidden="false" customHeight="false" outlineLevel="0" collapsed="false">
      <c r="A144" s="23" t="s">
        <v>663</v>
      </c>
      <c r="B144" s="24" t="s">
        <v>64</v>
      </c>
      <c r="C144" s="24" t="s">
        <v>664</v>
      </c>
      <c r="D144" s="24" t="s">
        <v>665</v>
      </c>
      <c r="E144" s="24" t="s">
        <v>666</v>
      </c>
      <c r="F144" s="25" t="s">
        <v>123</v>
      </c>
      <c r="G144" s="25" t="s">
        <v>221</v>
      </c>
      <c r="H144" s="24" t="s">
        <v>73</v>
      </c>
      <c r="I144" s="25" t="n">
        <v>3</v>
      </c>
      <c r="J144" s="25" t="s">
        <v>651</v>
      </c>
      <c r="K144" s="26" t="s">
        <v>16</v>
      </c>
      <c r="L144" s="27"/>
    </row>
    <row r="145" customFormat="false" ht="15" hidden="false" customHeight="false" outlineLevel="0" collapsed="false">
      <c r="A145" s="23" t="s">
        <v>667</v>
      </c>
      <c r="B145" s="24" t="s">
        <v>64</v>
      </c>
      <c r="C145" s="24" t="s">
        <v>668</v>
      </c>
      <c r="D145" s="24" t="s">
        <v>669</v>
      </c>
      <c r="E145" s="24" t="s">
        <v>670</v>
      </c>
      <c r="F145" s="25" t="s">
        <v>123</v>
      </c>
      <c r="G145" s="25" t="s">
        <v>221</v>
      </c>
      <c r="H145" s="24" t="s">
        <v>73</v>
      </c>
      <c r="I145" s="25" t="n">
        <v>15</v>
      </c>
      <c r="J145" s="25" t="s">
        <v>651</v>
      </c>
      <c r="K145" s="26" t="s">
        <v>16</v>
      </c>
      <c r="L145" s="27"/>
    </row>
    <row r="146" customFormat="false" ht="23.85" hidden="false" customHeight="false" outlineLevel="0" collapsed="false">
      <c r="A146" s="23" t="s">
        <v>671</v>
      </c>
      <c r="B146" s="24" t="s">
        <v>65</v>
      </c>
      <c r="C146" s="24" t="s">
        <v>672</v>
      </c>
      <c r="D146" s="24" t="s">
        <v>673</v>
      </c>
      <c r="E146" s="24" t="s">
        <v>674</v>
      </c>
      <c r="F146" s="25" t="s">
        <v>123</v>
      </c>
      <c r="G146" s="25" t="s">
        <v>145</v>
      </c>
      <c r="H146" s="24" t="s">
        <v>72</v>
      </c>
      <c r="I146" s="25" t="n">
        <v>4</v>
      </c>
      <c r="J146" s="25" t="s">
        <v>408</v>
      </c>
      <c r="K146" s="26" t="s">
        <v>16</v>
      </c>
      <c r="L146" s="27"/>
    </row>
    <row r="147" customFormat="false" ht="15" hidden="false" customHeight="false" outlineLevel="0" collapsed="false">
      <c r="A147" s="23" t="s">
        <v>675</v>
      </c>
      <c r="B147" s="24" t="s">
        <v>65</v>
      </c>
      <c r="C147" s="24" t="s">
        <v>676</v>
      </c>
      <c r="D147" s="24" t="s">
        <v>677</v>
      </c>
      <c r="E147" s="24" t="s">
        <v>678</v>
      </c>
      <c r="F147" s="25" t="s">
        <v>123</v>
      </c>
      <c r="G147" s="25" t="s">
        <v>145</v>
      </c>
      <c r="H147" s="24" t="s">
        <v>72</v>
      </c>
      <c r="I147" s="25" t="n">
        <v>8</v>
      </c>
      <c r="J147" s="25" t="s">
        <v>671</v>
      </c>
      <c r="K147" s="26" t="s">
        <v>16</v>
      </c>
      <c r="L147" s="27"/>
    </row>
    <row r="148" customFormat="false" ht="15" hidden="false" customHeight="false" outlineLevel="0" collapsed="false">
      <c r="A148" s="23" t="s">
        <v>679</v>
      </c>
      <c r="B148" s="24" t="s">
        <v>65</v>
      </c>
      <c r="C148" s="24" t="s">
        <v>680</v>
      </c>
      <c r="D148" s="24" t="s">
        <v>681</v>
      </c>
      <c r="E148" s="24" t="s">
        <v>682</v>
      </c>
      <c r="F148" s="25" t="s">
        <v>123</v>
      </c>
      <c r="G148" s="25" t="s">
        <v>145</v>
      </c>
      <c r="H148" s="24" t="s">
        <v>72</v>
      </c>
      <c r="I148" s="25" t="n">
        <v>8</v>
      </c>
      <c r="J148" s="25" t="s">
        <v>675</v>
      </c>
      <c r="K148" s="26" t="s">
        <v>16</v>
      </c>
      <c r="L148" s="27"/>
    </row>
    <row r="149" customFormat="false" ht="15" hidden="false" customHeight="false" outlineLevel="0" collapsed="false">
      <c r="A149" s="23" t="s">
        <v>683</v>
      </c>
      <c r="B149" s="24" t="s">
        <v>65</v>
      </c>
      <c r="C149" s="24" t="s">
        <v>684</v>
      </c>
      <c r="D149" s="24" t="s">
        <v>685</v>
      </c>
      <c r="E149" s="24" t="s">
        <v>686</v>
      </c>
      <c r="F149" s="25" t="s">
        <v>123</v>
      </c>
      <c r="G149" s="25" t="s">
        <v>145</v>
      </c>
      <c r="H149" s="24" t="s">
        <v>72</v>
      </c>
      <c r="I149" s="25" t="n">
        <v>4</v>
      </c>
      <c r="J149" s="25" t="s">
        <v>675</v>
      </c>
      <c r="K149" s="26" t="s">
        <v>16</v>
      </c>
      <c r="L149" s="27"/>
    </row>
    <row r="150" customFormat="false" ht="15" hidden="false" customHeight="false" outlineLevel="0" collapsed="false">
      <c r="A150" s="23" t="s">
        <v>687</v>
      </c>
      <c r="B150" s="24" t="s">
        <v>65</v>
      </c>
      <c r="C150" s="24" t="s">
        <v>688</v>
      </c>
      <c r="D150" s="24" t="s">
        <v>689</v>
      </c>
      <c r="E150" s="24" t="s">
        <v>690</v>
      </c>
      <c r="F150" s="25" t="s">
        <v>123</v>
      </c>
      <c r="G150" s="25" t="s">
        <v>145</v>
      </c>
      <c r="H150" s="24" t="s">
        <v>72</v>
      </c>
      <c r="I150" s="25" t="n">
        <v>3</v>
      </c>
      <c r="J150" s="25" t="s">
        <v>416</v>
      </c>
      <c r="K150" s="26" t="s">
        <v>16</v>
      </c>
      <c r="L150" s="27"/>
    </row>
    <row r="151" customFormat="false" ht="15" hidden="false" customHeight="false" outlineLevel="0" collapsed="false">
      <c r="A151" s="23" t="s">
        <v>691</v>
      </c>
      <c r="B151" s="24" t="s">
        <v>65</v>
      </c>
      <c r="C151" s="24" t="s">
        <v>692</v>
      </c>
      <c r="D151" s="24" t="s">
        <v>693</v>
      </c>
      <c r="E151" s="24" t="s">
        <v>694</v>
      </c>
      <c r="F151" s="25" t="s">
        <v>123</v>
      </c>
      <c r="G151" s="25" t="s">
        <v>145</v>
      </c>
      <c r="H151" s="24" t="s">
        <v>72</v>
      </c>
      <c r="I151" s="25" t="n">
        <v>1</v>
      </c>
      <c r="J151" s="25" t="s">
        <v>679</v>
      </c>
      <c r="K151" s="26" t="s">
        <v>16</v>
      </c>
      <c r="L151" s="27"/>
    </row>
    <row r="152" customFormat="false" ht="15" hidden="false" customHeight="false" outlineLevel="0" collapsed="false">
      <c r="A152" s="23" t="s">
        <v>695</v>
      </c>
      <c r="B152" s="24" t="s">
        <v>65</v>
      </c>
      <c r="C152" s="24" t="s">
        <v>696</v>
      </c>
      <c r="D152" s="24" t="s">
        <v>697</v>
      </c>
      <c r="E152" s="24" t="s">
        <v>698</v>
      </c>
      <c r="F152" s="25" t="s">
        <v>123</v>
      </c>
      <c r="G152" s="25" t="s">
        <v>221</v>
      </c>
      <c r="H152" s="24" t="s">
        <v>73</v>
      </c>
      <c r="I152" s="25" t="n">
        <v>8</v>
      </c>
      <c r="J152" s="25" t="s">
        <v>675</v>
      </c>
      <c r="K152" s="26" t="s">
        <v>16</v>
      </c>
      <c r="L152" s="27"/>
    </row>
    <row r="153" customFormat="false" ht="23.85" hidden="false" customHeight="false" outlineLevel="0" collapsed="false">
      <c r="A153" s="23" t="s">
        <v>699</v>
      </c>
      <c r="B153" s="24" t="s">
        <v>66</v>
      </c>
      <c r="C153" s="24" t="s">
        <v>700</v>
      </c>
      <c r="D153" s="24" t="s">
        <v>701</v>
      </c>
      <c r="E153" s="24" t="s">
        <v>702</v>
      </c>
      <c r="F153" s="25" t="s">
        <v>123</v>
      </c>
      <c r="G153" s="25" t="s">
        <v>221</v>
      </c>
      <c r="H153" s="24" t="s">
        <v>73</v>
      </c>
      <c r="I153" s="25" t="n">
        <v>6</v>
      </c>
      <c r="J153" s="25" t="s">
        <v>291</v>
      </c>
      <c r="K153" s="26" t="s">
        <v>16</v>
      </c>
      <c r="L153" s="27"/>
    </row>
    <row r="154" customFormat="false" ht="15" hidden="false" customHeight="false" outlineLevel="0" collapsed="false">
      <c r="A154" s="23" t="s">
        <v>703</v>
      </c>
      <c r="B154" s="24" t="s">
        <v>66</v>
      </c>
      <c r="C154" s="24" t="s">
        <v>704</v>
      </c>
      <c r="D154" s="24" t="s">
        <v>705</v>
      </c>
      <c r="E154" s="24" t="s">
        <v>706</v>
      </c>
      <c r="F154" s="25" t="s">
        <v>123</v>
      </c>
      <c r="G154" s="25" t="s">
        <v>221</v>
      </c>
      <c r="H154" s="24" t="s">
        <v>73</v>
      </c>
      <c r="I154" s="25" t="n">
        <v>4</v>
      </c>
      <c r="J154" s="25" t="s">
        <v>699</v>
      </c>
      <c r="K154" s="26" t="s">
        <v>16</v>
      </c>
      <c r="L154" s="27"/>
    </row>
    <row r="155" customFormat="false" ht="23.85" hidden="false" customHeight="false" outlineLevel="0" collapsed="false">
      <c r="A155" s="23" t="s">
        <v>707</v>
      </c>
      <c r="B155" s="24" t="s">
        <v>67</v>
      </c>
      <c r="C155" s="24" t="s">
        <v>708</v>
      </c>
      <c r="D155" s="24" t="s">
        <v>709</v>
      </c>
      <c r="E155" s="24" t="s">
        <v>710</v>
      </c>
      <c r="F155" s="25" t="s">
        <v>91</v>
      </c>
      <c r="G155" s="25" t="s">
        <v>92</v>
      </c>
      <c r="H155" s="24" t="s">
        <v>71</v>
      </c>
      <c r="I155" s="25" t="n">
        <v>8</v>
      </c>
      <c r="J155" s="25" t="s">
        <v>94</v>
      </c>
      <c r="K155" s="26" t="s">
        <v>16</v>
      </c>
      <c r="L155" s="27"/>
    </row>
    <row r="156" customFormat="false" ht="15" hidden="false" customHeight="false" outlineLevel="0" collapsed="false">
      <c r="A156" s="23" t="s">
        <v>711</v>
      </c>
      <c r="B156" s="24" t="s">
        <v>67</v>
      </c>
      <c r="C156" s="24" t="s">
        <v>712</v>
      </c>
      <c r="D156" s="24" t="s">
        <v>713</v>
      </c>
      <c r="E156" s="24" t="s">
        <v>714</v>
      </c>
      <c r="F156" s="25" t="s">
        <v>91</v>
      </c>
      <c r="G156" s="25" t="s">
        <v>92</v>
      </c>
      <c r="H156" s="24" t="s">
        <v>71</v>
      </c>
      <c r="I156" s="25" t="n">
        <v>3</v>
      </c>
      <c r="J156" s="25" t="s">
        <v>98</v>
      </c>
      <c r="K156" s="26" t="s">
        <v>16</v>
      </c>
      <c r="L156" s="27"/>
    </row>
    <row r="157" customFormat="false" ht="15" hidden="false" customHeight="false" outlineLevel="0" collapsed="false">
      <c r="A157" s="23" t="s">
        <v>715</v>
      </c>
      <c r="B157" s="24" t="s">
        <v>67</v>
      </c>
      <c r="C157" s="24" t="s">
        <v>716</v>
      </c>
      <c r="D157" s="24" t="s">
        <v>717</v>
      </c>
      <c r="E157" s="24" t="s">
        <v>718</v>
      </c>
      <c r="F157" s="25" t="s">
        <v>91</v>
      </c>
      <c r="G157" s="25" t="s">
        <v>92</v>
      </c>
      <c r="H157" s="24" t="s">
        <v>71</v>
      </c>
      <c r="I157" s="25" t="n">
        <v>10</v>
      </c>
      <c r="J157" s="25" t="s">
        <v>707</v>
      </c>
      <c r="K157" s="26" t="s">
        <v>16</v>
      </c>
      <c r="L157" s="27"/>
    </row>
    <row r="158" customFormat="false" ht="15" hidden="false" customHeight="false" outlineLevel="0" collapsed="false">
      <c r="A158" s="23" t="s">
        <v>719</v>
      </c>
      <c r="B158" s="24" t="s">
        <v>67</v>
      </c>
      <c r="C158" s="24" t="s">
        <v>720</v>
      </c>
      <c r="D158" s="24" t="s">
        <v>721</v>
      </c>
      <c r="E158" s="24" t="s">
        <v>722</v>
      </c>
      <c r="F158" s="25" t="s">
        <v>91</v>
      </c>
      <c r="G158" s="25" t="s">
        <v>92</v>
      </c>
      <c r="H158" s="24" t="s">
        <v>71</v>
      </c>
      <c r="I158" s="25" t="n">
        <v>5</v>
      </c>
      <c r="J158" s="25" t="s">
        <v>400</v>
      </c>
      <c r="K158" s="26" t="s">
        <v>16</v>
      </c>
      <c r="L158" s="27"/>
    </row>
    <row r="159" customFormat="false" ht="15" hidden="false" customHeight="false" outlineLevel="0" collapsed="false">
      <c r="A159" s="23" t="s">
        <v>723</v>
      </c>
      <c r="B159" s="24" t="s">
        <v>67</v>
      </c>
      <c r="C159" s="24" t="s">
        <v>724</v>
      </c>
      <c r="D159" s="24" t="s">
        <v>725</v>
      </c>
      <c r="E159" s="24" t="s">
        <v>726</v>
      </c>
      <c r="F159" s="25" t="s">
        <v>91</v>
      </c>
      <c r="G159" s="25" t="s">
        <v>92</v>
      </c>
      <c r="H159" s="24" t="s">
        <v>71</v>
      </c>
      <c r="I159" s="25" t="n">
        <v>2</v>
      </c>
      <c r="J159" s="25" t="s">
        <v>715</v>
      </c>
      <c r="K159" s="26" t="s">
        <v>16</v>
      </c>
      <c r="L159" s="27"/>
    </row>
  </sheetData>
  <autoFilter ref="A1:L159"/>
  <conditionalFormatting sqref="K2:K159">
    <cfRule type="expression" priority="2" aboveAverage="0" equalAverage="0" bottom="0" percent="0" rank="0" text="" dxfId="7">
      <formula>$K2="Validé"</formula>
    </cfRule>
    <cfRule type="expression" priority="3" aboveAverage="0" equalAverage="0" bottom="0" percent="0" rank="0" text="" dxfId="8">
      <formula>$K2="Refusé"</formula>
    </cfRule>
    <cfRule type="expression" priority="4" aboveAverage="0" equalAverage="0" bottom="0" percent="0" rank="0" text="" dxfId="9">
      <formula>$K2="À modifier"</formula>
    </cfRule>
    <cfRule type="expression" priority="5" aboveAverage="0" equalAverage="0" bottom="0" percent="0" rank="0" text="" dxfId="10">
      <formula>$K2="Reporté"</formula>
    </cfRule>
  </conditionalFormatting>
  <conditionalFormatting sqref="G2:G159">
    <cfRule type="expression" priority="6" aboveAverage="0" equalAverage="0" bottom="0" percent="0" rank="0" text="" dxfId="11">
      <formula>$G2="P0"</formula>
    </cfRule>
    <cfRule type="expression" priority="7" aboveAverage="0" equalAverage="0" bottom="0" percent="0" rank="0" text="" dxfId="12">
      <formula>$G2="P1"</formula>
    </cfRule>
    <cfRule type="expression" priority="8" aboveAverage="0" equalAverage="0" bottom="0" percent="0" rank="0" text="" dxfId="13">
      <formula>$G2="P2"</formula>
    </cfRule>
  </conditionalFormatting>
  <dataValidations count="1">
    <dataValidation allowBlank="true" error="Choisir une valeur de la liste" errorStyle="stop" errorTitle="Valeur invalide" operator="between" showDropDown="false" showErrorMessage="false" showInputMessage="false" sqref="K2:K159" type="list">
      <formula1>"À valider,Validé,À modifier,Refusé,Reporté"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2026-10-05T21:24:17Z</dcterms:created>
  <dc:creator>openpyxl</dc:creator>
  <dc:description/>
  <dc:language>en-US</dc:language>
  <cp:lastModifiedBy/>
  <dcterms:modified xsi:type="dcterms:W3CDTF">2026-10-05T21:24:17Z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